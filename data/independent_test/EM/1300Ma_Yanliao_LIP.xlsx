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F:\博士\02玄武岩——P元素方法\01实验\数据收集\三种地幔时间验证\EM\"/>
    </mc:Choice>
  </mc:AlternateContent>
  <xr:revisionPtr revIDLastSave="0" documentId="13_ncr:1_{BEED4DCF-1450-428E-9C2B-490976A2F9D3}" xr6:coauthVersionLast="47" xr6:coauthVersionMax="47" xr10:uidLastSave="{00000000-0000-0000-0000-000000000000}"/>
  <bookViews>
    <workbookView xWindow="-25320" yWindow="5625" windowWidth="25440" windowHeight="15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1" i="1" l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<sst xmlns="http://schemas.openxmlformats.org/spreadsheetml/2006/main" count="389" uniqueCount="176">
  <si>
    <t>011017-01</t>
  </si>
  <si>
    <t>Zhu et al., 2020</t>
    <phoneticPr fontId="3" type="noConversion"/>
  </si>
  <si>
    <t>011017-02</t>
  </si>
  <si>
    <t>011017-03</t>
  </si>
  <si>
    <t>011017-04</t>
  </si>
  <si>
    <t>011017-05</t>
  </si>
  <si>
    <t>011017-06</t>
  </si>
  <si>
    <t>011017-07</t>
  </si>
  <si>
    <t>011017-08</t>
  </si>
  <si>
    <t>011017-09</t>
  </si>
  <si>
    <t>011017-10</t>
  </si>
  <si>
    <t>011017-11</t>
  </si>
  <si>
    <t>011017-12</t>
  </si>
  <si>
    <t>011017-13</t>
  </si>
  <si>
    <t>011017-14</t>
  </si>
  <si>
    <t>011017-15</t>
  </si>
  <si>
    <t>011017-16</t>
  </si>
  <si>
    <t>011018-14</t>
  </si>
  <si>
    <t>011018-15</t>
  </si>
  <si>
    <t>011018-16</t>
  </si>
  <si>
    <t>011018-17</t>
  </si>
  <si>
    <t>011018-18</t>
  </si>
  <si>
    <t>011018-19</t>
  </si>
  <si>
    <t>011018-20</t>
  </si>
  <si>
    <t>011018-21</t>
  </si>
  <si>
    <t>011018-22</t>
  </si>
  <si>
    <t>08025-1</t>
  </si>
  <si>
    <t>Zhang et al., 2012</t>
    <phoneticPr fontId="3" type="noConversion"/>
  </si>
  <si>
    <t>08029-2</t>
  </si>
  <si>
    <t>08093-1</t>
  </si>
  <si>
    <t>08100-1</t>
  </si>
  <si>
    <t>09003-1</t>
  </si>
  <si>
    <t>Zhang et al., 2017</t>
    <phoneticPr fontId="3" type="noConversion"/>
  </si>
  <si>
    <t>09005-1</t>
  </si>
  <si>
    <t>09007-1</t>
  </si>
  <si>
    <t>09008-1</t>
  </si>
  <si>
    <t>09010-1</t>
  </si>
  <si>
    <t>09038-1</t>
  </si>
  <si>
    <t>09039-1</t>
  </si>
  <si>
    <t>Zhang et al., 2017a</t>
    <phoneticPr fontId="3" type="noConversion"/>
  </si>
  <si>
    <t>09048-1</t>
  </si>
  <si>
    <t>09053-1</t>
  </si>
  <si>
    <t>09055-2</t>
  </si>
  <si>
    <t>09060-1</t>
  </si>
  <si>
    <t>10014-1</t>
  </si>
  <si>
    <t>10023-1</t>
  </si>
  <si>
    <t>10025-1</t>
  </si>
  <si>
    <t>10026-1</t>
  </si>
  <si>
    <t>10098-2</t>
  </si>
  <si>
    <t>10099-1</t>
  </si>
  <si>
    <t>10101-1</t>
  </si>
  <si>
    <t>10102-1</t>
  </si>
  <si>
    <t>10105-1</t>
  </si>
  <si>
    <t>10106-1</t>
  </si>
  <si>
    <t>10119-1</t>
  </si>
  <si>
    <t>10540-1</t>
  </si>
  <si>
    <t>10541-1</t>
  </si>
  <si>
    <t>10543-1</t>
  </si>
  <si>
    <t>11045-1</t>
  </si>
  <si>
    <t>11046-1</t>
  </si>
  <si>
    <t>11046-2</t>
  </si>
  <si>
    <t>11047-1</t>
  </si>
  <si>
    <t>11049-1</t>
  </si>
  <si>
    <t>11051-1</t>
  </si>
  <si>
    <t>11053-1</t>
  </si>
  <si>
    <t>11054-1</t>
  </si>
  <si>
    <t>11055-1</t>
  </si>
  <si>
    <t>11056-1</t>
  </si>
  <si>
    <t>11058-2</t>
  </si>
  <si>
    <t>11060-1</t>
  </si>
  <si>
    <t>11062-1</t>
  </si>
  <si>
    <t>11062-2</t>
  </si>
  <si>
    <t>11245-1</t>
  </si>
  <si>
    <t>11246-1</t>
  </si>
  <si>
    <t>12002-1</t>
  </si>
  <si>
    <t>12003-1</t>
  </si>
  <si>
    <t>12081-1</t>
  </si>
  <si>
    <t>14001-2</t>
  </si>
  <si>
    <t>14098-1</t>
  </si>
  <si>
    <t>BSJ11-02</t>
  </si>
  <si>
    <t>Wang et al., 2014</t>
    <phoneticPr fontId="3" type="noConversion"/>
  </si>
  <si>
    <t>FW04-086</t>
  </si>
  <si>
    <t>FW04-087</t>
  </si>
  <si>
    <t>FW04-088</t>
  </si>
  <si>
    <t>FW04-089</t>
  </si>
  <si>
    <t>FW04-091</t>
  </si>
  <si>
    <t>FW04-092</t>
  </si>
  <si>
    <t>FW04-093</t>
  </si>
  <si>
    <t>FW04-094</t>
  </si>
  <si>
    <t>FW04-095</t>
  </si>
  <si>
    <t>FW04-096</t>
  </si>
  <si>
    <t>FW04-097</t>
  </si>
  <si>
    <t>FW04-098</t>
  </si>
  <si>
    <t>FW04-099</t>
  </si>
  <si>
    <t>FW04-100</t>
  </si>
  <si>
    <t>JQ2-16B</t>
  </si>
  <si>
    <t>Su et al., 2016</t>
    <phoneticPr fontId="3" type="noConversion"/>
  </si>
  <si>
    <t>JQ2-19B</t>
  </si>
  <si>
    <t>JQ2-20B</t>
  </si>
  <si>
    <t>JQ2-25B</t>
  </si>
  <si>
    <t>JQ2-26B</t>
  </si>
  <si>
    <t>JQ2-4</t>
  </si>
  <si>
    <t>JQ2-6</t>
  </si>
  <si>
    <t>JZ11-04</t>
  </si>
  <si>
    <t>KC-HP4-3</t>
  </si>
  <si>
    <t>PQ-SD-2</t>
  </si>
  <si>
    <t>SD057-1</t>
  </si>
  <si>
    <t>SD057-2</t>
  </si>
  <si>
    <t>SD057-3</t>
  </si>
  <si>
    <t>SD057-4</t>
  </si>
  <si>
    <t>SD069-1</t>
  </si>
  <si>
    <t>SD069-2</t>
  </si>
  <si>
    <t>SD069-3</t>
  </si>
  <si>
    <t>TCP11-02</t>
  </si>
  <si>
    <t>YSH11-02</t>
  </si>
  <si>
    <t>ZHZ11-02</t>
  </si>
  <si>
    <t>Sample no.</t>
    <phoneticPr fontId="6" type="noConversion"/>
  </si>
  <si>
    <t>SiO2</t>
  </si>
  <si>
    <t>TiO2</t>
  </si>
  <si>
    <t>Al2O3</t>
  </si>
  <si>
    <t>Fe2O3T</t>
  </si>
  <si>
    <t>MnO</t>
  </si>
  <si>
    <t>MgO</t>
  </si>
  <si>
    <t>CaO</t>
  </si>
  <si>
    <t>Na2O</t>
  </si>
  <si>
    <t>K2O</t>
  </si>
  <si>
    <t>P2O5</t>
  </si>
  <si>
    <t>LOI</t>
  </si>
  <si>
    <t>Total</t>
  </si>
  <si>
    <t>FeO</t>
  </si>
  <si>
    <t>Na2O+K2O</t>
    <phoneticPr fontId="6" type="noConversion"/>
  </si>
  <si>
    <t>ACNK</t>
  </si>
  <si>
    <t>Mgno</t>
  </si>
  <si>
    <t>Ba</t>
  </si>
  <si>
    <t>Rb</t>
  </si>
  <si>
    <t>Sr</t>
  </si>
  <si>
    <t>Y</t>
  </si>
  <si>
    <t>Zr</t>
  </si>
  <si>
    <t>Nb</t>
  </si>
  <si>
    <t>Th</t>
  </si>
  <si>
    <t>Pb</t>
  </si>
  <si>
    <t>Ga</t>
  </si>
  <si>
    <t>Zn</t>
  </si>
  <si>
    <t>Cu</t>
  </si>
  <si>
    <t>Ni</t>
  </si>
  <si>
    <t>V</t>
  </si>
  <si>
    <t>Cr</t>
  </si>
  <si>
    <t>Hf</t>
  </si>
  <si>
    <t>Cs</t>
  </si>
  <si>
    <t>Sc</t>
  </si>
  <si>
    <t>Ta</t>
  </si>
  <si>
    <t>Co</t>
  </si>
  <si>
    <t>Li</t>
  </si>
  <si>
    <t>Be</t>
  </si>
  <si>
    <t>U</t>
  </si>
  <si>
    <t>K</t>
  </si>
  <si>
    <t>P</t>
  </si>
  <si>
    <t>Ti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</si>
  <si>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</si>
  <si>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</si>
  <si>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</si>
  <si>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</si>
  <si>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</si>
  <si>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</si>
  <si>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</si>
  <si>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</si>
  <si>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</si>
  <si>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</si>
  <si>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</si>
  <si>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</si>
  <si>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</si>
  <si>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</si>
  <si>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Data Sources</t>
    <phoneticPr fontId="6" type="noConversion"/>
  </si>
  <si>
    <t>Location</t>
    <phoneticPr fontId="2" type="noConversion"/>
  </si>
  <si>
    <t xml:space="preserve">Yanliao LIP, North China </t>
    <phoneticPr fontId="3" type="noConversion"/>
  </si>
  <si>
    <t>AGE (Ma)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</si>
</sst>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7" x14ac:knownFonts="1">
    <font>
      <sz val="11"/>
      <color theme="1"/>
      <name val="宋体"/>
      <charset val="134"/>
      <scheme val="minor"/>
    </font>
    <font>
      <b/>
      <sz val="12"/>
      <name val="Times New Roman"/>
      <family val="1"/>
    </font>
    <font>
      <sz val="9"/>
      <name val="宋体"/>
      <charset val="134"/>
      <scheme val="minor"/>
    </font>
    <font>
      <sz val="9"/>
      <name val="宋体"/>
      <charset val="134"/>
    </font>
    <font>
      <sz val="12"/>
      <name val="Times New Roman"/>
      <family val="1"/>
    </font>
    <font>
      <sz val="12"/>
      <color indexed="12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80" fontId="1" fillId="0" borderId="0" xfId="0" applyNumberFormat="1" applyFont="1">
      <alignment vertical="center"/>
    </xf>
    <xf numFmtId="180" fontId="4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1"/>
  <sheetViews>
    <sheetView tabSelected="1" workbookViewId="0">
      <selection activeCell="E25" sqref="E25"/>
    </sheetView>
  </sheetViews>
  <sheetFormatPr defaultColWidth="9" defaultRowHeight="13.5" x14ac:dyDescent="0.15"/>
  <sheetData>
    <row r="1" spans="1:59" ht="15.75" x14ac:dyDescent="0.15">
      <c r="A1" s="1" t="s">
        <v>116</v>
      </c>
      <c r="B1" s="1" t="s">
        <v>173</v>
      </c>
      <c r="C1" s="1" t="s">
        <v>175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3" t="s">
        <v>155</v>
      </c>
      <c r="AQ1" s="3" t="s">
        <v>156</v>
      </c>
      <c r="AR1" s="3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164</v>
      </c>
      <c r="AZ1" s="1" t="s">
        <v>165</v>
      </c>
      <c r="BA1" s="1" t="s">
        <v>166</v>
      </c>
      <c r="BB1" s="1" t="s">
        <v>167</v>
      </c>
      <c r="BC1" s="1" t="s">
        <v>168</v>
      </c>
      <c r="BD1" s="1" t="s">
        <v>169</v>
      </c>
      <c r="BE1" s="1" t="s">
        <v>170</v>
      </c>
      <c r="BF1" s="1" t="s">
        <v>171</v>
      </c>
      <c r="BG1" s="1" t="s">
        <v>172</v>
      </c>
    </row>
    <row r="2" spans="1:59" ht="15.75" x14ac:dyDescent="0.15">
      <c r="A2" s="2" t="s">
        <v>0</v>
      </c>
      <c r="B2" s="1" t="s">
        <v>174</v>
      </c>
      <c r="C2" s="1">
        <v>1320</v>
      </c>
      <c r="D2" s="2">
        <v>48.75</v>
      </c>
      <c r="E2" s="2">
        <v>1.74</v>
      </c>
      <c r="F2" s="2">
        <v>14.01</v>
      </c>
      <c r="G2" s="2">
        <v>12.6</v>
      </c>
      <c r="H2" s="2">
        <v>0.18</v>
      </c>
      <c r="I2" s="2">
        <v>6.47</v>
      </c>
      <c r="J2" s="2">
        <v>11.51</v>
      </c>
      <c r="K2" s="2">
        <v>1.88</v>
      </c>
      <c r="L2" s="2">
        <v>0.73</v>
      </c>
      <c r="M2" s="2">
        <v>0.13</v>
      </c>
      <c r="N2" s="2">
        <v>2</v>
      </c>
      <c r="O2" s="2">
        <v>100</v>
      </c>
      <c r="P2" s="1"/>
      <c r="Q2" s="2">
        <f t="shared" ref="Q2:Q65" si="0">K2+L2</f>
        <v>2.61</v>
      </c>
      <c r="R2" s="2">
        <v>0.56000000000000005</v>
      </c>
      <c r="S2" s="2">
        <v>50.43</v>
      </c>
      <c r="T2" s="2">
        <v>124</v>
      </c>
      <c r="U2" s="2">
        <v>23.9</v>
      </c>
      <c r="V2" s="2">
        <v>203</v>
      </c>
      <c r="W2" s="2">
        <v>24.1</v>
      </c>
      <c r="X2" s="2">
        <v>96</v>
      </c>
      <c r="Y2" s="2">
        <v>6.7</v>
      </c>
      <c r="Z2" s="2">
        <v>1.8</v>
      </c>
      <c r="AA2" s="2">
        <v>4.07</v>
      </c>
      <c r="AB2" s="2">
        <v>17.2</v>
      </c>
      <c r="AC2" s="2">
        <v>86</v>
      </c>
      <c r="AD2" s="2">
        <v>90</v>
      </c>
      <c r="AE2" s="2">
        <v>63</v>
      </c>
      <c r="AF2" s="2">
        <v>348</v>
      </c>
      <c r="AG2" s="2">
        <v>479</v>
      </c>
      <c r="AH2" s="2">
        <v>2.66</v>
      </c>
      <c r="AI2" s="2">
        <v>0.7</v>
      </c>
      <c r="AJ2" s="2">
        <v>31.4</v>
      </c>
      <c r="AK2" s="2">
        <v>0.49</v>
      </c>
      <c r="AL2" s="2">
        <v>38</v>
      </c>
      <c r="AM2" s="2"/>
      <c r="AN2" s="2"/>
      <c r="AO2" s="2">
        <v>0.36</v>
      </c>
      <c r="AP2" s="4">
        <v>6057.51</v>
      </c>
      <c r="AQ2" s="4">
        <v>567.61</v>
      </c>
      <c r="AR2" s="4">
        <v>10431.290000000001</v>
      </c>
      <c r="AS2" s="2">
        <v>10.4</v>
      </c>
      <c r="AT2" s="2">
        <v>23.8</v>
      </c>
      <c r="AU2" s="2">
        <v>3.1</v>
      </c>
      <c r="AV2" s="2">
        <v>14.2</v>
      </c>
      <c r="AW2" s="2">
        <v>3.66</v>
      </c>
      <c r="AX2" s="2">
        <v>1.22</v>
      </c>
      <c r="AY2" s="2">
        <v>4.08</v>
      </c>
      <c r="AZ2" s="2">
        <v>0.7</v>
      </c>
      <c r="BA2" s="2">
        <v>4.1500000000000004</v>
      </c>
      <c r="BB2" s="2">
        <v>0.85</v>
      </c>
      <c r="BC2" s="2">
        <v>2.4</v>
      </c>
      <c r="BD2" s="2">
        <v>0.36</v>
      </c>
      <c r="BE2" s="2">
        <v>2.29</v>
      </c>
      <c r="BF2" s="2">
        <v>0.35</v>
      </c>
      <c r="BG2" s="5" t="s">
        <v>1</v>
      </c>
    </row>
    <row r="3" spans="1:59" ht="15.75" x14ac:dyDescent="0.15">
      <c r="A3" s="2" t="s">
        <v>2</v>
      </c>
      <c r="B3" s="1" t="s">
        <v>174</v>
      </c>
      <c r="C3" s="1">
        <v>1320</v>
      </c>
      <c r="D3" s="2">
        <v>47.58</v>
      </c>
      <c r="E3" s="2">
        <v>1.72</v>
      </c>
      <c r="F3" s="2">
        <v>15.48</v>
      </c>
      <c r="G3" s="2">
        <v>13.67</v>
      </c>
      <c r="H3" s="2">
        <v>0.18</v>
      </c>
      <c r="I3" s="2">
        <v>7.36</v>
      </c>
      <c r="J3" s="2">
        <v>10.24</v>
      </c>
      <c r="K3" s="2">
        <v>1.67</v>
      </c>
      <c r="L3" s="2">
        <v>0.46</v>
      </c>
      <c r="M3" s="2">
        <v>0.15</v>
      </c>
      <c r="N3" s="2">
        <v>1.49</v>
      </c>
      <c r="O3" s="2">
        <v>100</v>
      </c>
      <c r="P3" s="2"/>
      <c r="Q3" s="2">
        <f t="shared" si="0"/>
        <v>2.13</v>
      </c>
      <c r="R3" s="2">
        <v>0.71</v>
      </c>
      <c r="S3" s="2">
        <v>51.62</v>
      </c>
      <c r="T3" s="2">
        <v>122</v>
      </c>
      <c r="U3" s="2">
        <v>17.8</v>
      </c>
      <c r="V3" s="2">
        <v>192</v>
      </c>
      <c r="W3" s="2">
        <v>25.6</v>
      </c>
      <c r="X3" s="2">
        <v>113</v>
      </c>
      <c r="Y3" s="2">
        <v>7.8</v>
      </c>
      <c r="Z3" s="2">
        <v>2.11</v>
      </c>
      <c r="AA3" s="2">
        <v>3.66</v>
      </c>
      <c r="AB3" s="2">
        <v>18.8</v>
      </c>
      <c r="AC3" s="2">
        <v>99</v>
      </c>
      <c r="AD3" s="2">
        <v>97</v>
      </c>
      <c r="AE3" s="2">
        <v>168</v>
      </c>
      <c r="AF3" s="2">
        <v>266</v>
      </c>
      <c r="AG3" s="2">
        <v>140</v>
      </c>
      <c r="AH3" s="2">
        <v>3.02</v>
      </c>
      <c r="AI3" s="2">
        <v>1.5</v>
      </c>
      <c r="AJ3" s="2">
        <v>26.4</v>
      </c>
      <c r="AK3" s="2">
        <v>0.55000000000000004</v>
      </c>
      <c r="AL3" s="2">
        <v>52</v>
      </c>
      <c r="AM3" s="2"/>
      <c r="AN3" s="2"/>
      <c r="AO3" s="2">
        <v>0.44</v>
      </c>
      <c r="AP3" s="4">
        <v>3817.06</v>
      </c>
      <c r="AQ3" s="4">
        <v>654.92999999999995</v>
      </c>
      <c r="AR3" s="4">
        <v>10311.39</v>
      </c>
      <c r="AS3" s="2">
        <v>12.1</v>
      </c>
      <c r="AT3" s="2">
        <v>27.5</v>
      </c>
      <c r="AU3" s="2">
        <v>3.5</v>
      </c>
      <c r="AV3" s="2">
        <v>16.3</v>
      </c>
      <c r="AW3" s="2">
        <v>4.1100000000000003</v>
      </c>
      <c r="AX3" s="2">
        <v>1.3</v>
      </c>
      <c r="AY3" s="2">
        <v>4.41</v>
      </c>
      <c r="AZ3" s="2">
        <v>0.74</v>
      </c>
      <c r="BA3" s="2">
        <v>4.3499999999999996</v>
      </c>
      <c r="BB3" s="2">
        <v>0.89</v>
      </c>
      <c r="BC3" s="2">
        <v>2.5</v>
      </c>
      <c r="BD3" s="2">
        <v>0.37</v>
      </c>
      <c r="BE3" s="2">
        <v>2.4</v>
      </c>
      <c r="BF3" s="2">
        <v>0.36</v>
      </c>
      <c r="BG3" s="5" t="s">
        <v>1</v>
      </c>
    </row>
    <row r="4" spans="1:59" ht="15.75" x14ac:dyDescent="0.15">
      <c r="A4" s="2" t="s">
        <v>3</v>
      </c>
      <c r="B4" s="1" t="s">
        <v>174</v>
      </c>
      <c r="C4" s="1">
        <v>1320</v>
      </c>
      <c r="D4" s="2">
        <v>46.35</v>
      </c>
      <c r="E4" s="2">
        <v>3.55</v>
      </c>
      <c r="F4" s="2">
        <v>12.95</v>
      </c>
      <c r="G4" s="2">
        <v>14.08</v>
      </c>
      <c r="H4" s="2">
        <v>0.19</v>
      </c>
      <c r="I4" s="2">
        <v>5.78</v>
      </c>
      <c r="J4" s="2">
        <v>8.67</v>
      </c>
      <c r="K4" s="2">
        <v>2.4500000000000002</v>
      </c>
      <c r="L4" s="2">
        <v>1.06</v>
      </c>
      <c r="M4" s="2">
        <v>0.61</v>
      </c>
      <c r="N4" s="2">
        <v>4.3099999999999996</v>
      </c>
      <c r="O4" s="2">
        <v>100</v>
      </c>
      <c r="P4" s="2"/>
      <c r="Q4" s="2">
        <f t="shared" si="0"/>
        <v>3.5100000000000002</v>
      </c>
      <c r="R4" s="2">
        <v>0.62</v>
      </c>
      <c r="S4" s="2">
        <v>44.85</v>
      </c>
      <c r="T4" s="2">
        <v>582</v>
      </c>
      <c r="U4" s="2">
        <v>24.7</v>
      </c>
      <c r="V4" s="2">
        <v>400</v>
      </c>
      <c r="W4" s="2">
        <v>22.4</v>
      </c>
      <c r="X4" s="2">
        <v>274</v>
      </c>
      <c r="Y4" s="2">
        <v>16.600000000000001</v>
      </c>
      <c r="Z4" s="2">
        <v>1.84</v>
      </c>
      <c r="AA4" s="2">
        <v>3.05</v>
      </c>
      <c r="AB4" s="2">
        <v>17.899999999999999</v>
      </c>
      <c r="AC4" s="2">
        <v>96</v>
      </c>
      <c r="AD4" s="2">
        <v>51</v>
      </c>
      <c r="AE4" s="2">
        <v>52</v>
      </c>
      <c r="AF4" s="2">
        <v>263</v>
      </c>
      <c r="AG4" s="2">
        <v>93</v>
      </c>
      <c r="AH4" s="2">
        <v>6.11</v>
      </c>
      <c r="AI4" s="2">
        <v>0.5</v>
      </c>
      <c r="AJ4" s="2">
        <v>8.91</v>
      </c>
      <c r="AK4" s="2">
        <v>1.17</v>
      </c>
      <c r="AL4" s="2">
        <v>35</v>
      </c>
      <c r="AM4" s="2"/>
      <c r="AN4" s="2"/>
      <c r="AO4" s="2">
        <v>0.59</v>
      </c>
      <c r="AP4" s="4">
        <v>8795.84</v>
      </c>
      <c r="AQ4" s="4">
        <v>2663.38</v>
      </c>
      <c r="AR4" s="4">
        <v>21282.23</v>
      </c>
      <c r="AS4" s="2">
        <v>26.6</v>
      </c>
      <c r="AT4" s="2">
        <v>61.4</v>
      </c>
      <c r="AU4" s="2">
        <v>7.6</v>
      </c>
      <c r="AV4" s="2">
        <v>35.5</v>
      </c>
      <c r="AW4" s="2">
        <v>7.38</v>
      </c>
      <c r="AX4" s="2">
        <v>3.2</v>
      </c>
      <c r="AY4" s="2">
        <v>6.58</v>
      </c>
      <c r="AZ4" s="2">
        <v>0.95</v>
      </c>
      <c r="BA4" s="2">
        <v>4.83</v>
      </c>
      <c r="BB4" s="2">
        <v>0.88</v>
      </c>
      <c r="BC4" s="2">
        <v>2.2999999999999998</v>
      </c>
      <c r="BD4" s="2">
        <v>0.3</v>
      </c>
      <c r="BE4" s="2">
        <v>1.87</v>
      </c>
      <c r="BF4" s="2">
        <v>0.28000000000000003</v>
      </c>
      <c r="BG4" s="5" t="s">
        <v>1</v>
      </c>
    </row>
    <row r="5" spans="1:59" ht="15.75" x14ac:dyDescent="0.15">
      <c r="A5" s="2" t="s">
        <v>4</v>
      </c>
      <c r="B5" s="1" t="s">
        <v>174</v>
      </c>
      <c r="C5" s="1">
        <v>1320</v>
      </c>
      <c r="D5" s="2">
        <v>47.03</v>
      </c>
      <c r="E5" s="2">
        <v>1.63</v>
      </c>
      <c r="F5" s="2">
        <v>14.27</v>
      </c>
      <c r="G5" s="2">
        <v>14.48</v>
      </c>
      <c r="H5" s="2">
        <v>0.18</v>
      </c>
      <c r="I5" s="2">
        <v>8.84</v>
      </c>
      <c r="J5" s="2">
        <v>9.86</v>
      </c>
      <c r="K5" s="2">
        <v>1.64</v>
      </c>
      <c r="L5" s="2">
        <v>0.44</v>
      </c>
      <c r="M5" s="2"/>
      <c r="N5" s="2">
        <v>1.48</v>
      </c>
      <c r="O5" s="2">
        <v>99.85</v>
      </c>
      <c r="P5" s="2"/>
      <c r="Q5" s="2">
        <f t="shared" si="0"/>
        <v>2.08</v>
      </c>
      <c r="R5" s="2">
        <v>0.68</v>
      </c>
      <c r="S5" s="2">
        <v>54.74</v>
      </c>
      <c r="T5" s="2">
        <v>96</v>
      </c>
      <c r="U5" s="2">
        <v>15.1</v>
      </c>
      <c r="V5" s="2">
        <v>186</v>
      </c>
      <c r="W5" s="2">
        <v>23.5</v>
      </c>
      <c r="X5" s="2">
        <v>99</v>
      </c>
      <c r="Y5" s="2">
        <v>7.1</v>
      </c>
      <c r="Z5" s="2">
        <v>1.89</v>
      </c>
      <c r="AA5" s="2">
        <v>3.16</v>
      </c>
      <c r="AB5" s="2">
        <v>16.7</v>
      </c>
      <c r="AC5" s="2">
        <v>100</v>
      </c>
      <c r="AD5" s="2">
        <v>96</v>
      </c>
      <c r="AE5" s="2">
        <v>207</v>
      </c>
      <c r="AF5" s="2">
        <v>267</v>
      </c>
      <c r="AG5" s="2">
        <v>178</v>
      </c>
      <c r="AH5" s="2">
        <v>2.71</v>
      </c>
      <c r="AI5" s="2">
        <v>1.7</v>
      </c>
      <c r="AJ5" s="2">
        <v>20.6</v>
      </c>
      <c r="AK5" s="2">
        <v>0.53</v>
      </c>
      <c r="AL5" s="2">
        <v>59</v>
      </c>
      <c r="AM5" s="2"/>
      <c r="AN5" s="2"/>
      <c r="AO5" s="2">
        <v>0.41</v>
      </c>
      <c r="AP5" s="4">
        <v>3651.1</v>
      </c>
      <c r="AQ5" s="4"/>
      <c r="AR5" s="4">
        <v>9771.84</v>
      </c>
      <c r="AS5" s="2">
        <v>11.2</v>
      </c>
      <c r="AT5" s="2">
        <v>25.7</v>
      </c>
      <c r="AU5" s="2">
        <v>3.3</v>
      </c>
      <c r="AV5" s="2">
        <v>15.2</v>
      </c>
      <c r="AW5" s="2">
        <v>3.83</v>
      </c>
      <c r="AX5" s="2">
        <v>1.21</v>
      </c>
      <c r="AY5" s="2">
        <v>4.2</v>
      </c>
      <c r="AZ5" s="2">
        <v>0.7</v>
      </c>
      <c r="BA5" s="2">
        <v>4.16</v>
      </c>
      <c r="BB5" s="2">
        <v>0.86</v>
      </c>
      <c r="BC5" s="2">
        <v>2.4</v>
      </c>
      <c r="BD5" s="2">
        <v>0.36</v>
      </c>
      <c r="BE5" s="2">
        <v>2.29</v>
      </c>
      <c r="BF5" s="2">
        <v>0.35</v>
      </c>
      <c r="BG5" s="5" t="s">
        <v>1</v>
      </c>
    </row>
    <row r="6" spans="1:59" ht="15.75" x14ac:dyDescent="0.15">
      <c r="A6" s="2" t="s">
        <v>5</v>
      </c>
      <c r="B6" s="1" t="s">
        <v>174</v>
      </c>
      <c r="C6" s="1">
        <v>1320</v>
      </c>
      <c r="D6" s="2">
        <v>47.52</v>
      </c>
      <c r="E6" s="2">
        <v>1.67</v>
      </c>
      <c r="F6" s="2">
        <v>14.97</v>
      </c>
      <c r="G6" s="2">
        <v>12.99</v>
      </c>
      <c r="H6" s="2">
        <v>0.18</v>
      </c>
      <c r="I6" s="2">
        <v>6.91</v>
      </c>
      <c r="J6" s="2">
        <v>10.26</v>
      </c>
      <c r="K6" s="2">
        <v>2.2599999999999998</v>
      </c>
      <c r="L6" s="2">
        <v>0.6</v>
      </c>
      <c r="M6" s="2">
        <v>0.15</v>
      </c>
      <c r="N6" s="2">
        <v>2.48</v>
      </c>
      <c r="O6" s="2">
        <v>99.99</v>
      </c>
      <c r="P6" s="2"/>
      <c r="Q6" s="2">
        <f t="shared" si="0"/>
        <v>2.86</v>
      </c>
      <c r="R6" s="2">
        <v>0.65</v>
      </c>
      <c r="S6" s="2">
        <v>51.31</v>
      </c>
      <c r="T6" s="2">
        <v>135</v>
      </c>
      <c r="U6" s="2">
        <v>19.899999999999999</v>
      </c>
      <c r="V6" s="2">
        <v>304</v>
      </c>
      <c r="W6" s="2">
        <v>26</v>
      </c>
      <c r="X6" s="2">
        <v>107</v>
      </c>
      <c r="Y6" s="2">
        <v>8.1</v>
      </c>
      <c r="Z6" s="2">
        <v>2.06</v>
      </c>
      <c r="AA6" s="2">
        <v>3.86</v>
      </c>
      <c r="AB6" s="2">
        <v>19</v>
      </c>
      <c r="AC6" s="2">
        <v>84</v>
      </c>
      <c r="AD6" s="2">
        <v>62</v>
      </c>
      <c r="AE6" s="2">
        <v>107</v>
      </c>
      <c r="AF6" s="2">
        <v>288</v>
      </c>
      <c r="AG6" s="2">
        <v>418</v>
      </c>
      <c r="AH6" s="2">
        <v>2.83</v>
      </c>
      <c r="AI6" s="2">
        <v>0.8</v>
      </c>
      <c r="AJ6" s="2">
        <v>16.2</v>
      </c>
      <c r="AK6" s="2">
        <v>0.57999999999999996</v>
      </c>
      <c r="AL6" s="2">
        <v>45</v>
      </c>
      <c r="AM6" s="2"/>
      <c r="AN6" s="2"/>
      <c r="AO6" s="2">
        <v>0.43</v>
      </c>
      <c r="AP6" s="4">
        <v>4978.78</v>
      </c>
      <c r="AQ6" s="4">
        <v>654.92999999999995</v>
      </c>
      <c r="AR6" s="4">
        <v>10011.64</v>
      </c>
      <c r="AS6" s="2">
        <v>12.1</v>
      </c>
      <c r="AT6" s="2">
        <v>27.3</v>
      </c>
      <c r="AU6" s="2">
        <v>3.5</v>
      </c>
      <c r="AV6" s="2">
        <v>16.5</v>
      </c>
      <c r="AW6" s="2">
        <v>4.1399999999999997</v>
      </c>
      <c r="AX6" s="2">
        <v>1.32</v>
      </c>
      <c r="AY6" s="2">
        <v>4.46</v>
      </c>
      <c r="AZ6" s="2">
        <v>0.75</v>
      </c>
      <c r="BA6" s="2">
        <v>4.42</v>
      </c>
      <c r="BB6" s="2">
        <v>0.93</v>
      </c>
      <c r="BC6" s="2">
        <v>2.61</v>
      </c>
      <c r="BD6" s="2">
        <v>0.38</v>
      </c>
      <c r="BE6" s="2">
        <v>2.38</v>
      </c>
      <c r="BF6" s="2">
        <v>0.36</v>
      </c>
      <c r="BG6" s="5" t="s">
        <v>1</v>
      </c>
    </row>
    <row r="7" spans="1:59" ht="15.75" x14ac:dyDescent="0.15">
      <c r="A7" s="2" t="s">
        <v>6</v>
      </c>
      <c r="B7" s="1" t="s">
        <v>174</v>
      </c>
      <c r="C7" s="1">
        <v>1320</v>
      </c>
      <c r="D7" s="2">
        <v>47.1</v>
      </c>
      <c r="E7" s="2">
        <v>2.12</v>
      </c>
      <c r="F7" s="2">
        <v>13.94</v>
      </c>
      <c r="G7" s="2">
        <v>14.92</v>
      </c>
      <c r="H7" s="2">
        <v>0.19</v>
      </c>
      <c r="I7" s="2">
        <v>6.85</v>
      </c>
      <c r="J7" s="2">
        <v>9.34</v>
      </c>
      <c r="K7" s="2">
        <v>1.7</v>
      </c>
      <c r="L7" s="2">
        <v>0.79</v>
      </c>
      <c r="M7" s="2">
        <v>0.18</v>
      </c>
      <c r="N7" s="2">
        <v>2.85</v>
      </c>
      <c r="O7" s="2">
        <v>99.98</v>
      </c>
      <c r="P7" s="2"/>
      <c r="Q7" s="2">
        <f t="shared" si="0"/>
        <v>2.4900000000000002</v>
      </c>
      <c r="R7" s="2">
        <v>0.68</v>
      </c>
      <c r="S7" s="2">
        <v>47.63</v>
      </c>
      <c r="T7" s="2">
        <v>230</v>
      </c>
      <c r="U7" s="2">
        <v>29.6</v>
      </c>
      <c r="V7" s="2">
        <v>205</v>
      </c>
      <c r="W7" s="2">
        <v>31.6</v>
      </c>
      <c r="X7" s="2">
        <v>134</v>
      </c>
      <c r="Y7" s="2">
        <v>10.199999999999999</v>
      </c>
      <c r="Z7" s="2">
        <v>2.64</v>
      </c>
      <c r="AA7" s="2">
        <v>3.73</v>
      </c>
      <c r="AB7" s="2">
        <v>20.3</v>
      </c>
      <c r="AC7" s="2">
        <v>99</v>
      </c>
      <c r="AD7" s="2">
        <v>139</v>
      </c>
      <c r="AE7" s="2">
        <v>143</v>
      </c>
      <c r="AF7" s="2">
        <v>332</v>
      </c>
      <c r="AG7" s="2">
        <v>159</v>
      </c>
      <c r="AH7" s="2">
        <v>3.53</v>
      </c>
      <c r="AI7" s="2">
        <v>1.1000000000000001</v>
      </c>
      <c r="AJ7" s="2">
        <v>32</v>
      </c>
      <c r="AK7" s="2">
        <v>0.72</v>
      </c>
      <c r="AL7" s="2">
        <v>52</v>
      </c>
      <c r="AM7" s="2"/>
      <c r="AN7" s="2"/>
      <c r="AO7" s="2">
        <v>0.47</v>
      </c>
      <c r="AP7" s="4">
        <v>6555.39</v>
      </c>
      <c r="AQ7" s="4">
        <v>785.92</v>
      </c>
      <c r="AR7" s="4">
        <v>12709.39</v>
      </c>
      <c r="AS7" s="2">
        <v>16.399999999999999</v>
      </c>
      <c r="AT7" s="2">
        <v>36.1</v>
      </c>
      <c r="AU7" s="2">
        <v>4.5</v>
      </c>
      <c r="AV7" s="2">
        <v>20.6</v>
      </c>
      <c r="AW7" s="2">
        <v>5.17</v>
      </c>
      <c r="AX7" s="2">
        <v>1.5</v>
      </c>
      <c r="AY7" s="2">
        <v>5.45</v>
      </c>
      <c r="AZ7" s="2">
        <v>0.92</v>
      </c>
      <c r="BA7" s="2">
        <v>5.36</v>
      </c>
      <c r="BB7" s="2">
        <v>1.1000000000000001</v>
      </c>
      <c r="BC7" s="2">
        <v>3.09</v>
      </c>
      <c r="BD7" s="2">
        <v>0.45</v>
      </c>
      <c r="BE7" s="2">
        <v>2.83</v>
      </c>
      <c r="BF7" s="2">
        <v>0.44</v>
      </c>
      <c r="BG7" s="5" t="s">
        <v>1</v>
      </c>
    </row>
    <row r="8" spans="1:59" ht="15.75" x14ac:dyDescent="0.15">
      <c r="A8" s="2" t="s">
        <v>7</v>
      </c>
      <c r="B8" s="1" t="s">
        <v>174</v>
      </c>
      <c r="C8" s="1">
        <v>1320</v>
      </c>
      <c r="D8" s="2">
        <v>47.67</v>
      </c>
      <c r="E8" s="2">
        <v>2.19</v>
      </c>
      <c r="F8" s="2">
        <v>13.76</v>
      </c>
      <c r="G8" s="2">
        <v>15.18</v>
      </c>
      <c r="H8" s="2">
        <v>0.2</v>
      </c>
      <c r="I8" s="2">
        <v>5.95</v>
      </c>
      <c r="J8" s="2">
        <v>8.15</v>
      </c>
      <c r="K8" s="2">
        <v>2.46</v>
      </c>
      <c r="L8" s="2">
        <v>1.25</v>
      </c>
      <c r="M8" s="2">
        <v>0.18</v>
      </c>
      <c r="N8" s="2">
        <v>3.02</v>
      </c>
      <c r="O8" s="2">
        <v>100.01</v>
      </c>
      <c r="P8" s="2"/>
      <c r="Q8" s="2">
        <f t="shared" si="0"/>
        <v>3.71</v>
      </c>
      <c r="R8" s="2">
        <v>0.68</v>
      </c>
      <c r="S8" s="2">
        <v>43.71</v>
      </c>
      <c r="T8" s="2">
        <v>566</v>
      </c>
      <c r="U8" s="2">
        <v>47.7</v>
      </c>
      <c r="V8" s="2">
        <v>419</v>
      </c>
      <c r="W8" s="2">
        <v>28.5</v>
      </c>
      <c r="X8" s="2">
        <v>130</v>
      </c>
      <c r="Y8" s="2">
        <v>10</v>
      </c>
      <c r="Z8" s="2">
        <v>1.63</v>
      </c>
      <c r="AA8" s="2">
        <v>2.27</v>
      </c>
      <c r="AB8" s="2">
        <v>19.600000000000001</v>
      </c>
      <c r="AC8" s="2">
        <v>118</v>
      </c>
      <c r="AD8" s="2">
        <v>145</v>
      </c>
      <c r="AE8" s="2">
        <v>87</v>
      </c>
      <c r="AF8" s="2">
        <v>360</v>
      </c>
      <c r="AG8" s="2">
        <v>176</v>
      </c>
      <c r="AH8" s="2">
        <v>3.39</v>
      </c>
      <c r="AI8" s="2">
        <v>1.7</v>
      </c>
      <c r="AJ8" s="2">
        <v>3.84</v>
      </c>
      <c r="AK8" s="2">
        <v>0.7</v>
      </c>
      <c r="AL8" s="2">
        <v>46</v>
      </c>
      <c r="AM8" s="2"/>
      <c r="AN8" s="2"/>
      <c r="AO8" s="2">
        <v>0.55000000000000004</v>
      </c>
      <c r="AP8" s="4">
        <v>10372.450000000001</v>
      </c>
      <c r="AQ8" s="4">
        <v>785.92</v>
      </c>
      <c r="AR8" s="4">
        <v>13129.04</v>
      </c>
      <c r="AS8" s="2">
        <v>14.5</v>
      </c>
      <c r="AT8" s="2">
        <v>34.1</v>
      </c>
      <c r="AU8" s="2">
        <v>4.3</v>
      </c>
      <c r="AV8" s="2">
        <v>20</v>
      </c>
      <c r="AW8" s="2">
        <v>4.8499999999999996</v>
      </c>
      <c r="AX8" s="2">
        <v>1.51</v>
      </c>
      <c r="AY8" s="2">
        <v>5.27</v>
      </c>
      <c r="AZ8" s="2">
        <v>0.91</v>
      </c>
      <c r="BA8" s="2">
        <v>5.33</v>
      </c>
      <c r="BB8" s="2">
        <v>1.1000000000000001</v>
      </c>
      <c r="BC8" s="2">
        <v>3.06</v>
      </c>
      <c r="BD8" s="2">
        <v>0.44</v>
      </c>
      <c r="BE8" s="2">
        <v>2.87</v>
      </c>
      <c r="BF8" s="2">
        <v>0.42</v>
      </c>
      <c r="BG8" s="5" t="s">
        <v>1</v>
      </c>
    </row>
    <row r="9" spans="1:59" ht="15.75" x14ac:dyDescent="0.15">
      <c r="A9" s="2" t="s">
        <v>8</v>
      </c>
      <c r="B9" s="1" t="s">
        <v>174</v>
      </c>
      <c r="C9" s="1">
        <v>1320</v>
      </c>
      <c r="D9" s="2">
        <v>46.81</v>
      </c>
      <c r="E9" s="2">
        <v>1.37</v>
      </c>
      <c r="F9" s="2">
        <v>15.68</v>
      </c>
      <c r="G9" s="2">
        <v>13.63</v>
      </c>
      <c r="H9" s="2">
        <v>0.17</v>
      </c>
      <c r="I9" s="2">
        <v>8.77</v>
      </c>
      <c r="J9" s="2">
        <v>10.1</v>
      </c>
      <c r="K9" s="2">
        <v>1.6</v>
      </c>
      <c r="L9" s="2">
        <v>0.43</v>
      </c>
      <c r="M9" s="2">
        <v>0.12</v>
      </c>
      <c r="N9" s="2">
        <v>1.32</v>
      </c>
      <c r="O9" s="2">
        <v>100</v>
      </c>
      <c r="P9" s="2"/>
      <c r="Q9" s="2">
        <f t="shared" si="0"/>
        <v>2.0300000000000002</v>
      </c>
      <c r="R9" s="2">
        <v>0.73</v>
      </c>
      <c r="S9" s="2">
        <v>56.05</v>
      </c>
      <c r="T9" s="2">
        <v>88</v>
      </c>
      <c r="U9" s="2">
        <v>14.8</v>
      </c>
      <c r="V9" s="2">
        <v>199</v>
      </c>
      <c r="W9" s="2">
        <v>17</v>
      </c>
      <c r="X9" s="2">
        <v>81</v>
      </c>
      <c r="Y9" s="2">
        <v>6</v>
      </c>
      <c r="Z9" s="2">
        <v>1</v>
      </c>
      <c r="AA9" s="2">
        <v>3.04</v>
      </c>
      <c r="AB9" s="2">
        <v>18.100000000000001</v>
      </c>
      <c r="AC9" s="2">
        <v>96</v>
      </c>
      <c r="AD9" s="2">
        <v>89</v>
      </c>
      <c r="AE9" s="2">
        <v>211</v>
      </c>
      <c r="AF9" s="2">
        <v>253</v>
      </c>
      <c r="AG9" s="2">
        <v>162</v>
      </c>
      <c r="AH9" s="2">
        <v>2.12</v>
      </c>
      <c r="AI9" s="2">
        <v>0.8</v>
      </c>
      <c r="AJ9" s="2">
        <v>11</v>
      </c>
      <c r="AK9" s="2">
        <v>0.42</v>
      </c>
      <c r="AL9" s="2">
        <v>62</v>
      </c>
      <c r="AM9" s="2"/>
      <c r="AN9" s="2"/>
      <c r="AO9" s="2">
        <v>0.33</v>
      </c>
      <c r="AP9" s="4">
        <v>3568.12</v>
      </c>
      <c r="AQ9" s="4">
        <v>523.94000000000005</v>
      </c>
      <c r="AR9" s="4">
        <v>8213.14</v>
      </c>
      <c r="AS9" s="2">
        <v>8.7100000000000009</v>
      </c>
      <c r="AT9" s="2">
        <v>21.7</v>
      </c>
      <c r="AU9" s="2">
        <v>2.7</v>
      </c>
      <c r="AV9" s="2">
        <v>12.5</v>
      </c>
      <c r="AW9" s="2">
        <v>3.1</v>
      </c>
      <c r="AX9" s="2">
        <v>1.03</v>
      </c>
      <c r="AY9" s="2">
        <v>3.33</v>
      </c>
      <c r="AZ9" s="2">
        <v>0.56000000000000005</v>
      </c>
      <c r="BA9" s="2">
        <v>3.37</v>
      </c>
      <c r="BB9" s="2">
        <v>0.7</v>
      </c>
      <c r="BC9" s="2">
        <v>1.95</v>
      </c>
      <c r="BD9" s="2">
        <v>0.28000000000000003</v>
      </c>
      <c r="BE9" s="2">
        <v>1.77</v>
      </c>
      <c r="BF9" s="2">
        <v>0.27</v>
      </c>
      <c r="BG9" s="5" t="s">
        <v>1</v>
      </c>
    </row>
    <row r="10" spans="1:59" ht="15.75" x14ac:dyDescent="0.15">
      <c r="A10" s="2" t="s">
        <v>9</v>
      </c>
      <c r="B10" s="1" t="s">
        <v>174</v>
      </c>
      <c r="C10" s="1">
        <v>1320</v>
      </c>
      <c r="D10" s="2">
        <v>46.86</v>
      </c>
      <c r="E10" s="2">
        <v>1.43</v>
      </c>
      <c r="F10" s="2">
        <v>16.440000000000001</v>
      </c>
      <c r="G10" s="2">
        <v>13.15</v>
      </c>
      <c r="H10" s="2">
        <v>0.17</v>
      </c>
      <c r="I10" s="2">
        <v>7.96</v>
      </c>
      <c r="J10" s="2">
        <v>10.16</v>
      </c>
      <c r="K10" s="2">
        <v>1.69</v>
      </c>
      <c r="L10" s="2">
        <v>0.52</v>
      </c>
      <c r="M10" s="2">
        <v>0.13</v>
      </c>
      <c r="N10" s="2">
        <v>1.49</v>
      </c>
      <c r="O10" s="2">
        <v>100</v>
      </c>
      <c r="P10" s="2"/>
      <c r="Q10" s="2">
        <f t="shared" si="0"/>
        <v>2.21</v>
      </c>
      <c r="R10" s="2">
        <v>0.75</v>
      </c>
      <c r="S10" s="2">
        <v>54.54</v>
      </c>
      <c r="T10" s="2">
        <v>110</v>
      </c>
      <c r="U10" s="2">
        <v>20.3</v>
      </c>
      <c r="V10" s="2">
        <v>214</v>
      </c>
      <c r="W10" s="2">
        <v>23.4</v>
      </c>
      <c r="X10" s="2">
        <v>98</v>
      </c>
      <c r="Y10" s="2">
        <v>6.7</v>
      </c>
      <c r="Z10" s="2">
        <v>1.87</v>
      </c>
      <c r="AA10" s="2">
        <v>4.17</v>
      </c>
      <c r="AB10" s="2">
        <v>20.100000000000001</v>
      </c>
      <c r="AC10" s="2">
        <v>106</v>
      </c>
      <c r="AD10" s="2">
        <v>93</v>
      </c>
      <c r="AE10" s="2">
        <v>190</v>
      </c>
      <c r="AF10" s="2">
        <v>265</v>
      </c>
      <c r="AG10" s="2">
        <v>127</v>
      </c>
      <c r="AH10" s="2">
        <v>2.58</v>
      </c>
      <c r="AI10" s="2">
        <v>1.3</v>
      </c>
      <c r="AJ10" s="2">
        <v>25.3</v>
      </c>
      <c r="AK10" s="2">
        <v>0.48</v>
      </c>
      <c r="AL10" s="2">
        <v>59</v>
      </c>
      <c r="AM10" s="2"/>
      <c r="AN10" s="2"/>
      <c r="AO10" s="2">
        <v>0.39</v>
      </c>
      <c r="AP10" s="4">
        <v>4314.9399999999996</v>
      </c>
      <c r="AQ10" s="4">
        <v>567.61</v>
      </c>
      <c r="AR10" s="4">
        <v>8572.84</v>
      </c>
      <c r="AS10" s="2">
        <v>11.5</v>
      </c>
      <c r="AT10" s="2">
        <v>25.7</v>
      </c>
      <c r="AU10" s="2">
        <v>3.4</v>
      </c>
      <c r="AV10" s="2">
        <v>15</v>
      </c>
      <c r="AW10" s="2">
        <v>3.78</v>
      </c>
      <c r="AX10" s="2">
        <v>1.23</v>
      </c>
      <c r="AY10" s="2">
        <v>4.03</v>
      </c>
      <c r="AZ10" s="2">
        <v>0.68</v>
      </c>
      <c r="BA10" s="2">
        <v>3.96</v>
      </c>
      <c r="BB10" s="2">
        <v>0.82</v>
      </c>
      <c r="BC10" s="2">
        <v>2.29</v>
      </c>
      <c r="BD10" s="2">
        <v>0.34</v>
      </c>
      <c r="BE10" s="2">
        <v>2.12</v>
      </c>
      <c r="BF10" s="2">
        <v>0.32</v>
      </c>
      <c r="BG10" s="5" t="s">
        <v>1</v>
      </c>
    </row>
    <row r="11" spans="1:59" ht="15.75" x14ac:dyDescent="0.15">
      <c r="A11" s="2" t="s">
        <v>10</v>
      </c>
      <c r="B11" s="1" t="s">
        <v>174</v>
      </c>
      <c r="C11" s="1">
        <v>1320</v>
      </c>
      <c r="D11" s="2">
        <v>46.73</v>
      </c>
      <c r="E11" s="2">
        <v>1.47</v>
      </c>
      <c r="F11" s="2">
        <v>16.350000000000001</v>
      </c>
      <c r="G11" s="2">
        <v>13.23</v>
      </c>
      <c r="H11" s="2">
        <v>0.17</v>
      </c>
      <c r="I11" s="2">
        <v>7.91</v>
      </c>
      <c r="J11" s="2">
        <v>10.27</v>
      </c>
      <c r="K11" s="2">
        <v>1.71</v>
      </c>
      <c r="L11" s="2">
        <v>0.46</v>
      </c>
      <c r="M11" s="2">
        <v>0.12</v>
      </c>
      <c r="N11" s="2">
        <v>1.6</v>
      </c>
      <c r="O11" s="2">
        <v>100.02</v>
      </c>
      <c r="P11" s="2"/>
      <c r="Q11" s="2">
        <f t="shared" si="0"/>
        <v>2.17</v>
      </c>
      <c r="R11" s="2">
        <v>0.74</v>
      </c>
      <c r="S11" s="2">
        <v>54.24</v>
      </c>
      <c r="T11" s="2">
        <v>93</v>
      </c>
      <c r="U11" s="2">
        <v>17.2</v>
      </c>
      <c r="V11" s="2">
        <v>208</v>
      </c>
      <c r="W11" s="2">
        <v>21.1</v>
      </c>
      <c r="X11" s="2">
        <v>88</v>
      </c>
      <c r="Y11" s="2">
        <v>6.5</v>
      </c>
      <c r="Z11" s="2">
        <v>1.64</v>
      </c>
      <c r="AA11" s="2">
        <v>3.91</v>
      </c>
      <c r="AB11" s="2">
        <v>18.899999999999999</v>
      </c>
      <c r="AC11" s="2">
        <v>102</v>
      </c>
      <c r="AD11" s="2">
        <v>88</v>
      </c>
      <c r="AE11" s="2">
        <v>182</v>
      </c>
      <c r="AF11" s="2">
        <v>266</v>
      </c>
      <c r="AG11" s="2">
        <v>144</v>
      </c>
      <c r="AH11" s="2">
        <v>2.2999999999999998</v>
      </c>
      <c r="AI11" s="2">
        <v>0.9</v>
      </c>
      <c r="AJ11" s="2">
        <v>15.1</v>
      </c>
      <c r="AK11" s="2">
        <v>0.46</v>
      </c>
      <c r="AL11" s="2">
        <v>58</v>
      </c>
      <c r="AM11" s="2"/>
      <c r="AN11" s="2"/>
      <c r="AO11" s="2">
        <v>0.36</v>
      </c>
      <c r="AP11" s="4">
        <v>3817.06</v>
      </c>
      <c r="AQ11" s="4">
        <v>523.94000000000005</v>
      </c>
      <c r="AR11" s="4">
        <v>8812.64</v>
      </c>
      <c r="AS11" s="2">
        <v>9.8800000000000008</v>
      </c>
      <c r="AT11" s="2">
        <v>22.9</v>
      </c>
      <c r="AU11" s="2">
        <v>2.9</v>
      </c>
      <c r="AV11" s="2">
        <v>13.5</v>
      </c>
      <c r="AW11" s="2">
        <v>3.37</v>
      </c>
      <c r="AX11" s="2">
        <v>1.1299999999999999</v>
      </c>
      <c r="AY11" s="2">
        <v>3.63</v>
      </c>
      <c r="AZ11" s="2">
        <v>0.62</v>
      </c>
      <c r="BA11" s="2">
        <v>3.57</v>
      </c>
      <c r="BB11" s="2">
        <v>0.76</v>
      </c>
      <c r="BC11" s="2">
        <v>2.08</v>
      </c>
      <c r="BD11" s="2">
        <v>0.31</v>
      </c>
      <c r="BE11" s="2">
        <v>1.94</v>
      </c>
      <c r="BF11" s="2">
        <v>0.3</v>
      </c>
      <c r="BG11" s="5" t="s">
        <v>1</v>
      </c>
    </row>
    <row r="12" spans="1:59" ht="15.75" x14ac:dyDescent="0.15">
      <c r="A12" s="2" t="s">
        <v>11</v>
      </c>
      <c r="B12" s="1" t="s">
        <v>174</v>
      </c>
      <c r="C12" s="1">
        <v>1320</v>
      </c>
      <c r="D12" s="2">
        <v>48.6</v>
      </c>
      <c r="E12" s="2">
        <v>1.38</v>
      </c>
      <c r="F12" s="2">
        <v>12.86</v>
      </c>
      <c r="G12" s="2">
        <v>12.55</v>
      </c>
      <c r="H12" s="2">
        <v>0.19</v>
      </c>
      <c r="I12" s="2">
        <v>8.1300000000000008</v>
      </c>
      <c r="J12" s="2">
        <v>12.29</v>
      </c>
      <c r="K12" s="2">
        <v>1.54</v>
      </c>
      <c r="L12" s="2">
        <v>0.4</v>
      </c>
      <c r="M12" s="2">
        <v>0.11</v>
      </c>
      <c r="N12" s="2">
        <v>1.96</v>
      </c>
      <c r="O12" s="2">
        <v>100.01</v>
      </c>
      <c r="P12" s="2"/>
      <c r="Q12" s="2">
        <f t="shared" si="0"/>
        <v>1.94</v>
      </c>
      <c r="R12" s="2">
        <v>0.51</v>
      </c>
      <c r="S12" s="2">
        <v>56.21</v>
      </c>
      <c r="T12" s="2">
        <v>91</v>
      </c>
      <c r="U12" s="2">
        <v>16.399999999999999</v>
      </c>
      <c r="V12" s="2">
        <v>172</v>
      </c>
      <c r="W12" s="2">
        <v>24</v>
      </c>
      <c r="X12" s="2">
        <v>91</v>
      </c>
      <c r="Y12" s="2">
        <v>5.9</v>
      </c>
      <c r="Z12" s="2">
        <v>1.65</v>
      </c>
      <c r="AA12" s="2">
        <v>2.81</v>
      </c>
      <c r="AB12" s="2">
        <v>17.399999999999999</v>
      </c>
      <c r="AC12" s="2">
        <v>90</v>
      </c>
      <c r="AD12" s="2">
        <v>81</v>
      </c>
      <c r="AE12" s="2">
        <v>108</v>
      </c>
      <c r="AF12" s="2">
        <v>403</v>
      </c>
      <c r="AG12" s="2">
        <v>895</v>
      </c>
      <c r="AH12" s="2">
        <v>2.4500000000000002</v>
      </c>
      <c r="AI12" s="2">
        <v>0.5</v>
      </c>
      <c r="AJ12" s="2">
        <v>48.7</v>
      </c>
      <c r="AK12" s="2">
        <v>0.42</v>
      </c>
      <c r="AL12" s="2">
        <v>50</v>
      </c>
      <c r="AM12" s="2"/>
      <c r="AN12" s="2"/>
      <c r="AO12" s="2">
        <v>0.35</v>
      </c>
      <c r="AP12" s="4">
        <v>3319.19</v>
      </c>
      <c r="AQ12" s="4">
        <v>480.28</v>
      </c>
      <c r="AR12" s="4">
        <v>8273.09</v>
      </c>
      <c r="AS12" s="2">
        <v>9.7100000000000009</v>
      </c>
      <c r="AT12" s="2">
        <v>22.4</v>
      </c>
      <c r="AU12" s="2">
        <v>2.9</v>
      </c>
      <c r="AV12" s="2">
        <v>14</v>
      </c>
      <c r="AW12" s="2">
        <v>3.61</v>
      </c>
      <c r="AX12" s="2">
        <v>1.1299999999999999</v>
      </c>
      <c r="AY12" s="2">
        <v>4.04</v>
      </c>
      <c r="AZ12" s="2">
        <v>0.69</v>
      </c>
      <c r="BA12" s="2">
        <v>4.09</v>
      </c>
      <c r="BB12" s="2">
        <v>0.85</v>
      </c>
      <c r="BC12" s="2">
        <v>2.35</v>
      </c>
      <c r="BD12" s="2">
        <v>0.35</v>
      </c>
      <c r="BE12" s="2">
        <v>2.1800000000000002</v>
      </c>
      <c r="BF12" s="2">
        <v>0.33</v>
      </c>
      <c r="BG12" s="5" t="s">
        <v>1</v>
      </c>
    </row>
    <row r="13" spans="1:59" ht="15.75" x14ac:dyDescent="0.15">
      <c r="A13" s="2" t="s">
        <v>12</v>
      </c>
      <c r="B13" s="1" t="s">
        <v>174</v>
      </c>
      <c r="C13" s="1">
        <v>1320</v>
      </c>
      <c r="D13" s="2">
        <v>47.12</v>
      </c>
      <c r="E13" s="2">
        <v>1.67</v>
      </c>
      <c r="F13" s="2">
        <v>15.01</v>
      </c>
      <c r="G13" s="2">
        <v>12.53</v>
      </c>
      <c r="H13" s="2">
        <v>0.17</v>
      </c>
      <c r="I13" s="2">
        <v>6.88</v>
      </c>
      <c r="J13" s="2">
        <v>10.6</v>
      </c>
      <c r="K13" s="2">
        <v>2.5499999999999998</v>
      </c>
      <c r="L13" s="2">
        <v>0.52</v>
      </c>
      <c r="M13" s="2">
        <v>0.13</v>
      </c>
      <c r="N13" s="2">
        <v>2.82</v>
      </c>
      <c r="O13" s="2">
        <v>100</v>
      </c>
      <c r="P13" s="2"/>
      <c r="Q13" s="2">
        <f t="shared" si="0"/>
        <v>3.07</v>
      </c>
      <c r="R13" s="2">
        <v>0.62</v>
      </c>
      <c r="S13" s="2">
        <v>52.12</v>
      </c>
      <c r="T13" s="2">
        <v>164</v>
      </c>
      <c r="U13" s="2">
        <v>19.2</v>
      </c>
      <c r="V13" s="2">
        <v>395</v>
      </c>
      <c r="W13" s="2">
        <v>24.2</v>
      </c>
      <c r="X13" s="2">
        <v>106</v>
      </c>
      <c r="Y13" s="2">
        <v>7</v>
      </c>
      <c r="Z13" s="2">
        <v>1.42</v>
      </c>
      <c r="AA13" s="2">
        <v>3.16</v>
      </c>
      <c r="AB13" s="2">
        <v>19.3</v>
      </c>
      <c r="AC13" s="2">
        <v>93</v>
      </c>
      <c r="AD13" s="2">
        <v>97</v>
      </c>
      <c r="AE13" s="2">
        <v>92</v>
      </c>
      <c r="AF13" s="2">
        <v>395</v>
      </c>
      <c r="AG13" s="2">
        <v>753</v>
      </c>
      <c r="AH13" s="2">
        <v>2.73</v>
      </c>
      <c r="AI13" s="2">
        <v>1.1000000000000001</v>
      </c>
      <c r="AJ13" s="2">
        <v>24.3</v>
      </c>
      <c r="AK13" s="2">
        <v>0.49</v>
      </c>
      <c r="AL13" s="2">
        <v>46</v>
      </c>
      <c r="AM13" s="2"/>
      <c r="AN13" s="2"/>
      <c r="AO13" s="2">
        <v>0.38</v>
      </c>
      <c r="AP13" s="4">
        <v>4314.9399999999996</v>
      </c>
      <c r="AQ13" s="4">
        <v>567.61</v>
      </c>
      <c r="AR13" s="4">
        <v>10011.64</v>
      </c>
      <c r="AS13" s="2">
        <v>10.5</v>
      </c>
      <c r="AT13" s="2">
        <v>24.8</v>
      </c>
      <c r="AU13" s="2">
        <v>3.2</v>
      </c>
      <c r="AV13" s="2">
        <v>15.2</v>
      </c>
      <c r="AW13" s="2">
        <v>3.86</v>
      </c>
      <c r="AX13" s="2">
        <v>1.24</v>
      </c>
      <c r="AY13" s="2">
        <v>4.16</v>
      </c>
      <c r="AZ13" s="2">
        <v>0.71</v>
      </c>
      <c r="BA13" s="2">
        <v>4.24</v>
      </c>
      <c r="BB13" s="2">
        <v>0.88</v>
      </c>
      <c r="BC13" s="2">
        <v>2.4500000000000002</v>
      </c>
      <c r="BD13" s="2">
        <v>0.35</v>
      </c>
      <c r="BE13" s="2">
        <v>2.29</v>
      </c>
      <c r="BF13" s="2">
        <v>0.34</v>
      </c>
      <c r="BG13" s="5" t="s">
        <v>1</v>
      </c>
    </row>
    <row r="14" spans="1:59" ht="15.75" x14ac:dyDescent="0.15">
      <c r="A14" s="2" t="s">
        <v>13</v>
      </c>
      <c r="B14" s="1" t="s">
        <v>174</v>
      </c>
      <c r="C14" s="1">
        <v>1320</v>
      </c>
      <c r="D14" s="2">
        <v>48.39</v>
      </c>
      <c r="E14" s="2">
        <v>1.33</v>
      </c>
      <c r="F14" s="2">
        <v>12.01</v>
      </c>
      <c r="G14" s="2">
        <v>12.98</v>
      </c>
      <c r="H14" s="2">
        <v>0.19</v>
      </c>
      <c r="I14" s="2">
        <v>9.14</v>
      </c>
      <c r="J14" s="2">
        <v>12.3</v>
      </c>
      <c r="K14" s="2">
        <v>1.42</v>
      </c>
      <c r="L14" s="2">
        <v>0.35</v>
      </c>
      <c r="M14" s="2">
        <v>0.11</v>
      </c>
      <c r="N14" s="2">
        <v>1.78</v>
      </c>
      <c r="O14" s="2">
        <v>100</v>
      </c>
      <c r="P14" s="2"/>
      <c r="Q14" s="2">
        <f t="shared" si="0"/>
        <v>1.77</v>
      </c>
      <c r="R14" s="2">
        <v>0.48</v>
      </c>
      <c r="S14" s="2">
        <v>58.25</v>
      </c>
      <c r="T14" s="2">
        <v>89</v>
      </c>
      <c r="U14" s="2">
        <v>15.3</v>
      </c>
      <c r="V14" s="2">
        <v>163</v>
      </c>
      <c r="W14" s="2">
        <v>24</v>
      </c>
      <c r="X14" s="2">
        <v>83</v>
      </c>
      <c r="Y14" s="2">
        <v>5.5</v>
      </c>
      <c r="Z14" s="2">
        <v>1.5</v>
      </c>
      <c r="AA14" s="2">
        <v>2.9</v>
      </c>
      <c r="AB14" s="2">
        <v>16.5</v>
      </c>
      <c r="AC14" s="2">
        <v>93</v>
      </c>
      <c r="AD14" s="2">
        <v>76</v>
      </c>
      <c r="AE14" s="2">
        <v>132</v>
      </c>
      <c r="AF14" s="2">
        <v>405</v>
      </c>
      <c r="AG14" s="2">
        <v>1004</v>
      </c>
      <c r="AH14" s="2">
        <v>2.2200000000000002</v>
      </c>
      <c r="AI14" s="2">
        <v>0.6</v>
      </c>
      <c r="AJ14" s="2">
        <v>51.3</v>
      </c>
      <c r="AK14" s="2">
        <v>0.4</v>
      </c>
      <c r="AL14" s="2">
        <v>56</v>
      </c>
      <c r="AM14" s="2"/>
      <c r="AN14" s="2"/>
      <c r="AO14" s="2">
        <v>0.32</v>
      </c>
      <c r="AP14" s="4">
        <v>2904.29</v>
      </c>
      <c r="AQ14" s="4">
        <v>480.28</v>
      </c>
      <c r="AR14" s="4">
        <v>7973.34</v>
      </c>
      <c r="AS14" s="2">
        <v>9.26</v>
      </c>
      <c r="AT14" s="2">
        <v>21.2</v>
      </c>
      <c r="AU14" s="2">
        <v>2.9</v>
      </c>
      <c r="AV14" s="2">
        <v>13.5</v>
      </c>
      <c r="AW14" s="2">
        <v>3.51</v>
      </c>
      <c r="AX14" s="2">
        <v>1.1200000000000001</v>
      </c>
      <c r="AY14" s="2">
        <v>4</v>
      </c>
      <c r="AZ14" s="2">
        <v>0.68</v>
      </c>
      <c r="BA14" s="2">
        <v>4.09</v>
      </c>
      <c r="BB14" s="2">
        <v>0.85</v>
      </c>
      <c r="BC14" s="2">
        <v>2.33</v>
      </c>
      <c r="BD14" s="2">
        <v>0.35</v>
      </c>
      <c r="BE14" s="2">
        <v>2.16</v>
      </c>
      <c r="BF14" s="2">
        <v>0.33</v>
      </c>
      <c r="BG14" s="5" t="s">
        <v>1</v>
      </c>
    </row>
    <row r="15" spans="1:59" ht="15.75" x14ac:dyDescent="0.15">
      <c r="A15" s="2" t="s">
        <v>14</v>
      </c>
      <c r="B15" s="1" t="s">
        <v>174</v>
      </c>
      <c r="C15" s="1">
        <v>1320</v>
      </c>
      <c r="D15" s="2">
        <v>48.43</v>
      </c>
      <c r="E15" s="2">
        <v>1.45</v>
      </c>
      <c r="F15" s="2">
        <v>13.12</v>
      </c>
      <c r="G15" s="2">
        <v>12.77</v>
      </c>
      <c r="H15" s="2">
        <v>0.18</v>
      </c>
      <c r="I15" s="2">
        <v>8.11</v>
      </c>
      <c r="J15" s="2">
        <v>12.08</v>
      </c>
      <c r="K15" s="2">
        <v>1.58</v>
      </c>
      <c r="L15" s="2">
        <v>0.41</v>
      </c>
      <c r="M15" s="2">
        <v>0.11</v>
      </c>
      <c r="N15" s="2">
        <v>1.75</v>
      </c>
      <c r="O15" s="2">
        <v>99.99</v>
      </c>
      <c r="P15" s="2"/>
      <c r="Q15" s="2">
        <f t="shared" si="0"/>
        <v>1.99</v>
      </c>
      <c r="R15" s="2">
        <v>0.52</v>
      </c>
      <c r="S15" s="2">
        <v>55.72</v>
      </c>
      <c r="T15" s="2">
        <v>101</v>
      </c>
      <c r="U15" s="2">
        <v>18.7</v>
      </c>
      <c r="V15" s="2">
        <v>194</v>
      </c>
      <c r="W15" s="2">
        <v>25.9</v>
      </c>
      <c r="X15" s="2">
        <v>98</v>
      </c>
      <c r="Y15" s="2">
        <v>6.4</v>
      </c>
      <c r="Z15" s="2">
        <v>1.72</v>
      </c>
      <c r="AA15" s="2">
        <v>2.93</v>
      </c>
      <c r="AB15" s="2">
        <v>18.899999999999999</v>
      </c>
      <c r="AC15" s="2">
        <v>98</v>
      </c>
      <c r="AD15" s="2">
        <v>98</v>
      </c>
      <c r="AE15" s="2">
        <v>119</v>
      </c>
      <c r="AF15" s="2">
        <v>417</v>
      </c>
      <c r="AG15" s="2">
        <v>900</v>
      </c>
      <c r="AH15" s="2">
        <v>2.52</v>
      </c>
      <c r="AI15" s="2">
        <v>0.6</v>
      </c>
      <c r="AJ15" s="2">
        <v>50.2</v>
      </c>
      <c r="AK15" s="2">
        <v>0.45</v>
      </c>
      <c r="AL15" s="2">
        <v>55</v>
      </c>
      <c r="AM15" s="2"/>
      <c r="AN15" s="2"/>
      <c r="AO15" s="2">
        <v>0.37</v>
      </c>
      <c r="AP15" s="4">
        <v>3402.16</v>
      </c>
      <c r="AQ15" s="4">
        <v>480.28</v>
      </c>
      <c r="AR15" s="4">
        <v>8692.74</v>
      </c>
      <c r="AS15" s="2">
        <v>10.1</v>
      </c>
      <c r="AT15" s="2">
        <v>23.3</v>
      </c>
      <c r="AU15" s="2">
        <v>3.1</v>
      </c>
      <c r="AV15" s="2">
        <v>14.6</v>
      </c>
      <c r="AW15" s="2">
        <v>3.73</v>
      </c>
      <c r="AX15" s="2">
        <v>1.2</v>
      </c>
      <c r="AY15" s="2">
        <v>4.1100000000000003</v>
      </c>
      <c r="AZ15" s="2">
        <v>0.7</v>
      </c>
      <c r="BA15" s="2">
        <v>4.28</v>
      </c>
      <c r="BB15" s="2">
        <v>0.88</v>
      </c>
      <c r="BC15" s="2">
        <v>2.44</v>
      </c>
      <c r="BD15" s="2">
        <v>0.36</v>
      </c>
      <c r="BE15" s="2">
        <v>2.31</v>
      </c>
      <c r="BF15" s="2">
        <v>0.34</v>
      </c>
      <c r="BG15" s="5" t="s">
        <v>1</v>
      </c>
    </row>
    <row r="16" spans="1:59" ht="15.75" x14ac:dyDescent="0.15">
      <c r="A16" s="2" t="s">
        <v>15</v>
      </c>
      <c r="B16" s="1" t="s">
        <v>174</v>
      </c>
      <c r="C16" s="1">
        <v>1320</v>
      </c>
      <c r="D16" s="2">
        <v>48.48</v>
      </c>
      <c r="E16" s="2">
        <v>1.39</v>
      </c>
      <c r="F16" s="2">
        <v>12.95</v>
      </c>
      <c r="G16" s="2">
        <v>12.93</v>
      </c>
      <c r="H16" s="2">
        <v>0.19</v>
      </c>
      <c r="I16" s="2">
        <v>8.2100000000000009</v>
      </c>
      <c r="J16" s="2">
        <v>12.11</v>
      </c>
      <c r="K16" s="2">
        <v>1.48</v>
      </c>
      <c r="L16" s="2">
        <v>0.41</v>
      </c>
      <c r="M16" s="2">
        <v>0.11</v>
      </c>
      <c r="N16" s="2">
        <v>1.75</v>
      </c>
      <c r="O16" s="2">
        <v>100.01</v>
      </c>
      <c r="P16" s="2"/>
      <c r="Q16" s="2">
        <f t="shared" si="0"/>
        <v>1.89</v>
      </c>
      <c r="R16" s="2">
        <v>0.52</v>
      </c>
      <c r="S16" s="2">
        <v>55.72</v>
      </c>
      <c r="T16" s="2">
        <v>94</v>
      </c>
      <c r="U16" s="2">
        <v>16.7</v>
      </c>
      <c r="V16" s="2">
        <v>176</v>
      </c>
      <c r="W16" s="2">
        <v>23.1</v>
      </c>
      <c r="X16" s="2">
        <v>86</v>
      </c>
      <c r="Y16" s="2">
        <v>5.5</v>
      </c>
      <c r="Z16" s="2">
        <v>1.55</v>
      </c>
      <c r="AA16" s="2">
        <v>2.73</v>
      </c>
      <c r="AB16" s="2">
        <v>17.5</v>
      </c>
      <c r="AC16" s="2">
        <v>92</v>
      </c>
      <c r="AD16" s="2">
        <v>88</v>
      </c>
      <c r="AE16" s="2">
        <v>111</v>
      </c>
      <c r="AF16" s="2">
        <v>400</v>
      </c>
      <c r="AG16" s="2">
        <v>857</v>
      </c>
      <c r="AH16" s="2">
        <v>2.3199999999999998</v>
      </c>
      <c r="AI16" s="2">
        <v>0.5</v>
      </c>
      <c r="AJ16" s="2">
        <v>45</v>
      </c>
      <c r="AK16" s="2">
        <v>0.4</v>
      </c>
      <c r="AL16" s="2">
        <v>51</v>
      </c>
      <c r="AM16" s="2"/>
      <c r="AN16" s="2"/>
      <c r="AO16" s="2">
        <v>0.33</v>
      </c>
      <c r="AP16" s="4">
        <v>3402.16</v>
      </c>
      <c r="AQ16" s="4">
        <v>480.28</v>
      </c>
      <c r="AR16" s="4">
        <v>8333.0400000000009</v>
      </c>
      <c r="AS16" s="2">
        <v>8.92</v>
      </c>
      <c r="AT16" s="2">
        <v>20.7</v>
      </c>
      <c r="AU16" s="2">
        <v>2.8</v>
      </c>
      <c r="AV16" s="2">
        <v>13.1</v>
      </c>
      <c r="AW16" s="2">
        <v>3.36</v>
      </c>
      <c r="AX16" s="2">
        <v>1.08</v>
      </c>
      <c r="AY16" s="2">
        <v>3.76</v>
      </c>
      <c r="AZ16" s="2">
        <v>0.64</v>
      </c>
      <c r="BA16" s="2">
        <v>3.88</v>
      </c>
      <c r="BB16" s="2">
        <v>0.81</v>
      </c>
      <c r="BC16" s="2">
        <v>2.25</v>
      </c>
      <c r="BD16" s="2">
        <v>0.34</v>
      </c>
      <c r="BE16" s="2">
        <v>2.1</v>
      </c>
      <c r="BF16" s="2">
        <v>0.32</v>
      </c>
      <c r="BG16" s="5" t="s">
        <v>1</v>
      </c>
    </row>
    <row r="17" spans="1:59" ht="15.75" x14ac:dyDescent="0.15">
      <c r="A17" s="2" t="s">
        <v>16</v>
      </c>
      <c r="B17" s="1" t="s">
        <v>174</v>
      </c>
      <c r="C17" s="1">
        <v>1320</v>
      </c>
      <c r="D17" s="2">
        <v>48.83</v>
      </c>
      <c r="E17" s="2">
        <v>1.34</v>
      </c>
      <c r="F17" s="2">
        <v>13.01</v>
      </c>
      <c r="G17" s="2">
        <v>12.38</v>
      </c>
      <c r="H17" s="2">
        <v>0.18</v>
      </c>
      <c r="I17" s="2">
        <v>8.25</v>
      </c>
      <c r="J17" s="2">
        <v>12.28</v>
      </c>
      <c r="K17" s="2">
        <v>1.52</v>
      </c>
      <c r="L17" s="2">
        <v>0.38</v>
      </c>
      <c r="M17" s="2">
        <v>0.11</v>
      </c>
      <c r="N17" s="2">
        <v>1.71</v>
      </c>
      <c r="O17" s="2">
        <v>99.99</v>
      </c>
      <c r="P17" s="2"/>
      <c r="Q17" s="2">
        <f t="shared" si="0"/>
        <v>1.9</v>
      </c>
      <c r="R17" s="2">
        <v>0.52</v>
      </c>
      <c r="S17" s="2">
        <v>56.9</v>
      </c>
      <c r="T17" s="2">
        <v>95</v>
      </c>
      <c r="U17" s="2">
        <v>16</v>
      </c>
      <c r="V17" s="2">
        <v>180</v>
      </c>
      <c r="W17" s="2">
        <v>24</v>
      </c>
      <c r="X17" s="2">
        <v>88</v>
      </c>
      <c r="Y17" s="2">
        <v>5.7</v>
      </c>
      <c r="Z17" s="2">
        <v>1.66</v>
      </c>
      <c r="AA17" s="2">
        <v>2.93</v>
      </c>
      <c r="AB17" s="2">
        <v>17.600000000000001</v>
      </c>
      <c r="AC17" s="2">
        <v>90</v>
      </c>
      <c r="AD17" s="2">
        <v>84</v>
      </c>
      <c r="AE17" s="2">
        <v>114</v>
      </c>
      <c r="AF17" s="2">
        <v>409</v>
      </c>
      <c r="AG17" s="2">
        <v>924</v>
      </c>
      <c r="AH17" s="2">
        <v>2.3199999999999998</v>
      </c>
      <c r="AI17" s="2">
        <v>0.5</v>
      </c>
      <c r="AJ17" s="2">
        <v>49.4</v>
      </c>
      <c r="AK17" s="2">
        <v>0.4</v>
      </c>
      <c r="AL17" s="2">
        <v>52</v>
      </c>
      <c r="AM17" s="2"/>
      <c r="AN17" s="2"/>
      <c r="AO17" s="2">
        <v>0.34</v>
      </c>
      <c r="AP17" s="4">
        <v>3153.23</v>
      </c>
      <c r="AQ17" s="4">
        <v>480.28</v>
      </c>
      <c r="AR17" s="4">
        <v>8033.29</v>
      </c>
      <c r="AS17" s="2">
        <v>9.6300000000000008</v>
      </c>
      <c r="AT17" s="2">
        <v>22.3</v>
      </c>
      <c r="AU17" s="2">
        <v>3</v>
      </c>
      <c r="AV17" s="2">
        <v>13.7</v>
      </c>
      <c r="AW17" s="2">
        <v>3.58</v>
      </c>
      <c r="AX17" s="2">
        <v>1.1499999999999999</v>
      </c>
      <c r="AY17" s="2">
        <v>3.92</v>
      </c>
      <c r="AZ17" s="2">
        <v>0.68</v>
      </c>
      <c r="BA17" s="2">
        <v>4.04</v>
      </c>
      <c r="BB17" s="2">
        <v>0.85</v>
      </c>
      <c r="BC17" s="2">
        <v>2.31</v>
      </c>
      <c r="BD17" s="2">
        <v>0.34</v>
      </c>
      <c r="BE17" s="2">
        <v>2.17</v>
      </c>
      <c r="BF17" s="2">
        <v>0.32</v>
      </c>
      <c r="BG17" s="5" t="s">
        <v>1</v>
      </c>
    </row>
    <row r="18" spans="1:59" ht="15.75" x14ac:dyDescent="0.15">
      <c r="A18" s="2" t="s">
        <v>17</v>
      </c>
      <c r="B18" s="1" t="s">
        <v>174</v>
      </c>
      <c r="C18" s="1">
        <v>1320</v>
      </c>
      <c r="D18" s="2">
        <v>46.76</v>
      </c>
      <c r="E18" s="2">
        <v>1.88</v>
      </c>
      <c r="F18" s="2">
        <v>16.95</v>
      </c>
      <c r="G18" s="2">
        <v>11.32</v>
      </c>
      <c r="H18" s="2">
        <v>0.24</v>
      </c>
      <c r="I18" s="2">
        <v>5.4</v>
      </c>
      <c r="J18" s="2">
        <v>10.97</v>
      </c>
      <c r="K18" s="2">
        <v>2.0499999999999998</v>
      </c>
      <c r="L18" s="2">
        <v>0.87</v>
      </c>
      <c r="M18" s="2">
        <v>0.15</v>
      </c>
      <c r="N18" s="2">
        <v>3.42</v>
      </c>
      <c r="O18" s="2">
        <v>100.01</v>
      </c>
      <c r="P18" s="2"/>
      <c r="Q18" s="2">
        <f t="shared" si="0"/>
        <v>2.92</v>
      </c>
      <c r="R18" s="2">
        <v>0.7</v>
      </c>
      <c r="S18" s="2">
        <v>48.58</v>
      </c>
      <c r="T18" s="2">
        <v>186</v>
      </c>
      <c r="U18" s="2">
        <v>31.4</v>
      </c>
      <c r="V18" s="2">
        <v>197</v>
      </c>
      <c r="W18" s="2">
        <v>21.7</v>
      </c>
      <c r="X18" s="2">
        <v>87</v>
      </c>
      <c r="Y18" s="2">
        <v>8.1</v>
      </c>
      <c r="Z18" s="2">
        <v>1.91</v>
      </c>
      <c r="AA18" s="2">
        <v>66.400000000000006</v>
      </c>
      <c r="AB18" s="2">
        <v>16.3</v>
      </c>
      <c r="AC18" s="2">
        <v>82</v>
      </c>
      <c r="AD18" s="2">
        <v>93</v>
      </c>
      <c r="AE18" s="2">
        <v>144</v>
      </c>
      <c r="AF18" s="2">
        <v>197</v>
      </c>
      <c r="AG18" s="2">
        <v>106</v>
      </c>
      <c r="AH18" s="2">
        <v>2.4900000000000002</v>
      </c>
      <c r="AI18" s="2">
        <v>2.4</v>
      </c>
      <c r="AJ18" s="2">
        <v>18.3</v>
      </c>
      <c r="AK18" s="2">
        <v>0.59</v>
      </c>
      <c r="AL18" s="2">
        <v>25</v>
      </c>
      <c r="AM18" s="2"/>
      <c r="AN18" s="2"/>
      <c r="AO18" s="2">
        <v>0.38</v>
      </c>
      <c r="AP18" s="4">
        <v>7219.23</v>
      </c>
      <c r="AQ18" s="4">
        <v>654.92999999999995</v>
      </c>
      <c r="AR18" s="4">
        <v>11270.59</v>
      </c>
      <c r="AS18" s="2">
        <v>10.3</v>
      </c>
      <c r="AT18" s="2">
        <v>23.2</v>
      </c>
      <c r="AU18" s="2">
        <v>2.9</v>
      </c>
      <c r="AV18" s="2">
        <v>13.5</v>
      </c>
      <c r="AW18" s="2">
        <v>3.45</v>
      </c>
      <c r="AX18" s="2">
        <v>1.21</v>
      </c>
      <c r="AY18" s="2">
        <v>3.77</v>
      </c>
      <c r="AZ18" s="2">
        <v>0.64</v>
      </c>
      <c r="BA18" s="2">
        <v>3.84</v>
      </c>
      <c r="BB18" s="2">
        <v>0.79</v>
      </c>
      <c r="BC18" s="2">
        <v>2.21</v>
      </c>
      <c r="BD18" s="2">
        <v>0.34</v>
      </c>
      <c r="BE18" s="2">
        <v>2.13</v>
      </c>
      <c r="BF18" s="2">
        <v>0.32</v>
      </c>
      <c r="BG18" s="5" t="s">
        <v>1</v>
      </c>
    </row>
    <row r="19" spans="1:59" ht="15.75" x14ac:dyDescent="0.15">
      <c r="A19" s="2" t="s">
        <v>18</v>
      </c>
      <c r="B19" s="1" t="s">
        <v>174</v>
      </c>
      <c r="C19" s="1">
        <v>1320</v>
      </c>
      <c r="D19" s="2">
        <v>47.16</v>
      </c>
      <c r="E19" s="2">
        <v>1.22</v>
      </c>
      <c r="F19" s="2">
        <v>16.38</v>
      </c>
      <c r="G19" s="2">
        <v>11.06</v>
      </c>
      <c r="H19" s="2">
        <v>0.1</v>
      </c>
      <c r="I19" s="2">
        <v>6.02</v>
      </c>
      <c r="J19" s="2">
        <v>6.72</v>
      </c>
      <c r="K19" s="2">
        <v>3.12</v>
      </c>
      <c r="L19" s="2">
        <v>2.5299999999999998</v>
      </c>
      <c r="M19" s="2">
        <v>0.22</v>
      </c>
      <c r="N19" s="2">
        <v>5.48</v>
      </c>
      <c r="O19" s="2">
        <v>100.01</v>
      </c>
      <c r="P19" s="2"/>
      <c r="Q19" s="2">
        <f t="shared" si="0"/>
        <v>5.65</v>
      </c>
      <c r="R19" s="2">
        <v>0.82</v>
      </c>
      <c r="S19" s="2">
        <v>51.89</v>
      </c>
      <c r="T19" s="2">
        <v>618</v>
      </c>
      <c r="U19" s="2">
        <v>67.7</v>
      </c>
      <c r="V19" s="2">
        <v>223</v>
      </c>
      <c r="W19" s="2">
        <v>15.7</v>
      </c>
      <c r="X19" s="2">
        <v>82</v>
      </c>
      <c r="Y19" s="2">
        <v>2.7</v>
      </c>
      <c r="Z19" s="2">
        <v>0.92</v>
      </c>
      <c r="AA19" s="2">
        <v>3.45</v>
      </c>
      <c r="AB19" s="2">
        <v>14.4</v>
      </c>
      <c r="AC19" s="2">
        <v>53</v>
      </c>
      <c r="AD19" s="2">
        <v>34</v>
      </c>
      <c r="AE19" s="2">
        <v>43</v>
      </c>
      <c r="AF19" s="2">
        <v>166</v>
      </c>
      <c r="AG19" s="2">
        <v>123</v>
      </c>
      <c r="AH19" s="2">
        <v>2.36</v>
      </c>
      <c r="AI19" s="2">
        <v>2</v>
      </c>
      <c r="AJ19" s="2">
        <v>16.399999999999999</v>
      </c>
      <c r="AK19" s="2">
        <v>0.17</v>
      </c>
      <c r="AL19" s="2">
        <v>26</v>
      </c>
      <c r="AM19" s="2"/>
      <c r="AN19" s="2"/>
      <c r="AO19" s="2">
        <v>0.28000000000000003</v>
      </c>
      <c r="AP19" s="4">
        <v>20993.85</v>
      </c>
      <c r="AQ19" s="4">
        <v>960.56</v>
      </c>
      <c r="AR19" s="4">
        <v>7313.89</v>
      </c>
      <c r="AS19" s="2">
        <v>10.199999999999999</v>
      </c>
      <c r="AT19" s="2">
        <v>26.1</v>
      </c>
      <c r="AU19" s="2">
        <v>3.3</v>
      </c>
      <c r="AV19" s="2">
        <v>15.5</v>
      </c>
      <c r="AW19" s="2">
        <v>3.5</v>
      </c>
      <c r="AX19" s="2">
        <v>1.1399999999999999</v>
      </c>
      <c r="AY19" s="2">
        <v>3.47</v>
      </c>
      <c r="AZ19" s="2">
        <v>0.53</v>
      </c>
      <c r="BA19" s="2">
        <v>3.04</v>
      </c>
      <c r="BB19" s="2">
        <v>0.63</v>
      </c>
      <c r="BC19" s="2">
        <v>1.74</v>
      </c>
      <c r="BD19" s="2">
        <v>0.26</v>
      </c>
      <c r="BE19" s="2">
        <v>1.6</v>
      </c>
      <c r="BF19" s="2">
        <v>0.25</v>
      </c>
      <c r="BG19" s="5" t="s">
        <v>1</v>
      </c>
    </row>
    <row r="20" spans="1:59" ht="15.75" x14ac:dyDescent="0.15">
      <c r="A20" s="2" t="s">
        <v>19</v>
      </c>
      <c r="B20" s="1" t="s">
        <v>174</v>
      </c>
      <c r="C20" s="1">
        <v>1320</v>
      </c>
      <c r="D20" s="2">
        <v>49.24</v>
      </c>
      <c r="E20" s="2">
        <v>1.73</v>
      </c>
      <c r="F20" s="2">
        <v>14.87</v>
      </c>
      <c r="G20" s="2">
        <v>12.67</v>
      </c>
      <c r="H20" s="2">
        <v>0.18</v>
      </c>
      <c r="I20" s="2">
        <v>5.9</v>
      </c>
      <c r="J20" s="2">
        <v>10.91</v>
      </c>
      <c r="K20" s="2">
        <v>1.99</v>
      </c>
      <c r="L20" s="2">
        <v>0.93</v>
      </c>
      <c r="M20" s="2">
        <v>0.15</v>
      </c>
      <c r="N20" s="2">
        <v>1.43</v>
      </c>
      <c r="O20" s="2">
        <v>100</v>
      </c>
      <c r="P20" s="2"/>
      <c r="Q20" s="2">
        <f t="shared" si="0"/>
        <v>2.92</v>
      </c>
      <c r="R20" s="2">
        <v>0.62</v>
      </c>
      <c r="S20" s="2">
        <v>47.99</v>
      </c>
      <c r="T20" s="2">
        <v>201</v>
      </c>
      <c r="U20" s="2">
        <v>30.7</v>
      </c>
      <c r="V20" s="2">
        <v>208</v>
      </c>
      <c r="W20" s="2">
        <v>19.899999999999999</v>
      </c>
      <c r="X20" s="2">
        <v>111</v>
      </c>
      <c r="Y20" s="2">
        <v>7.4</v>
      </c>
      <c r="Z20" s="2">
        <v>1.02</v>
      </c>
      <c r="AA20" s="2">
        <v>5.28</v>
      </c>
      <c r="AB20" s="2">
        <v>16</v>
      </c>
      <c r="AC20" s="2">
        <v>91</v>
      </c>
      <c r="AD20" s="2">
        <v>108</v>
      </c>
      <c r="AE20" s="2">
        <v>51</v>
      </c>
      <c r="AF20" s="2">
        <v>275</v>
      </c>
      <c r="AG20" s="2">
        <v>370</v>
      </c>
      <c r="AH20" s="2">
        <v>3.09</v>
      </c>
      <c r="AI20" s="2">
        <v>0.6</v>
      </c>
      <c r="AJ20" s="2">
        <v>9.81</v>
      </c>
      <c r="AK20" s="2">
        <v>0.55000000000000004</v>
      </c>
      <c r="AL20" s="2">
        <v>32</v>
      </c>
      <c r="AM20" s="2"/>
      <c r="AN20" s="2"/>
      <c r="AO20" s="2">
        <v>0.47</v>
      </c>
      <c r="AP20" s="4">
        <v>7717.11</v>
      </c>
      <c r="AQ20" s="4">
        <v>654.92999999999995</v>
      </c>
      <c r="AR20" s="4">
        <v>10371.34</v>
      </c>
      <c r="AS20" s="2">
        <v>9.75</v>
      </c>
      <c r="AT20" s="2">
        <v>24.9</v>
      </c>
      <c r="AU20" s="2">
        <v>3</v>
      </c>
      <c r="AV20" s="2">
        <v>14.4</v>
      </c>
      <c r="AW20" s="2">
        <v>3.64</v>
      </c>
      <c r="AX20" s="2">
        <v>1.1599999999999999</v>
      </c>
      <c r="AY20" s="2">
        <v>4.08</v>
      </c>
      <c r="AZ20" s="2">
        <v>0.69</v>
      </c>
      <c r="BA20" s="2">
        <v>4.16</v>
      </c>
      <c r="BB20" s="2">
        <v>0.86</v>
      </c>
      <c r="BC20" s="2">
        <v>2.36</v>
      </c>
      <c r="BD20" s="2">
        <v>0.36</v>
      </c>
      <c r="BE20" s="2">
        <v>2.2400000000000002</v>
      </c>
      <c r="BF20" s="2">
        <v>0.35</v>
      </c>
      <c r="BG20" s="5" t="s">
        <v>1</v>
      </c>
    </row>
    <row r="21" spans="1:59" ht="15.75" x14ac:dyDescent="0.15">
      <c r="A21" s="2" t="s">
        <v>20</v>
      </c>
      <c r="B21" s="1" t="s">
        <v>174</v>
      </c>
      <c r="C21" s="1">
        <v>1320</v>
      </c>
      <c r="D21" s="2">
        <v>49.51</v>
      </c>
      <c r="E21" s="2">
        <v>1.97</v>
      </c>
      <c r="F21" s="2">
        <v>12.8</v>
      </c>
      <c r="G21" s="2">
        <v>13.77</v>
      </c>
      <c r="H21" s="2">
        <v>0.2</v>
      </c>
      <c r="I21" s="2">
        <v>6.24</v>
      </c>
      <c r="J21" s="2">
        <v>11.24</v>
      </c>
      <c r="K21" s="2">
        <v>1.81</v>
      </c>
      <c r="L21" s="2">
        <v>0.4</v>
      </c>
      <c r="M21" s="2">
        <v>0.18</v>
      </c>
      <c r="N21" s="2">
        <v>1.9</v>
      </c>
      <c r="O21" s="2">
        <v>100.02</v>
      </c>
      <c r="P21" s="2"/>
      <c r="Q21" s="2">
        <f t="shared" si="0"/>
        <v>2.21</v>
      </c>
      <c r="R21" s="2">
        <v>0.54</v>
      </c>
      <c r="S21" s="2">
        <v>47.31</v>
      </c>
      <c r="T21" s="2">
        <v>140</v>
      </c>
      <c r="U21" s="2">
        <v>14.2</v>
      </c>
      <c r="V21" s="2">
        <v>173</v>
      </c>
      <c r="W21" s="2">
        <v>31</v>
      </c>
      <c r="X21" s="2">
        <v>136</v>
      </c>
      <c r="Y21" s="2">
        <v>8.9</v>
      </c>
      <c r="Z21" s="2">
        <v>2.76</v>
      </c>
      <c r="AA21" s="2">
        <v>2.68</v>
      </c>
      <c r="AB21" s="2">
        <v>17.399999999999999</v>
      </c>
      <c r="AC21" s="2">
        <v>84</v>
      </c>
      <c r="AD21" s="2">
        <v>103</v>
      </c>
      <c r="AE21" s="2">
        <v>49</v>
      </c>
      <c r="AF21" s="2">
        <v>327</v>
      </c>
      <c r="AG21" s="2">
        <v>152</v>
      </c>
      <c r="AH21" s="2">
        <v>3.73</v>
      </c>
      <c r="AI21" s="2">
        <v>0.7</v>
      </c>
      <c r="AJ21" s="2">
        <v>34.700000000000003</v>
      </c>
      <c r="AK21" s="2">
        <v>0.69</v>
      </c>
      <c r="AL21" s="2">
        <v>38</v>
      </c>
      <c r="AM21" s="2"/>
      <c r="AN21" s="2"/>
      <c r="AO21" s="2">
        <v>0.62</v>
      </c>
      <c r="AP21" s="4">
        <v>3319.19</v>
      </c>
      <c r="AQ21" s="4">
        <v>785.92</v>
      </c>
      <c r="AR21" s="4">
        <v>11810.14</v>
      </c>
      <c r="AS21" s="2">
        <v>14.2</v>
      </c>
      <c r="AT21" s="2">
        <v>32.5</v>
      </c>
      <c r="AU21" s="2">
        <v>4.2</v>
      </c>
      <c r="AV21" s="2">
        <v>19.5</v>
      </c>
      <c r="AW21" s="2">
        <v>4.97</v>
      </c>
      <c r="AX21" s="2">
        <v>1.45</v>
      </c>
      <c r="AY21" s="2">
        <v>5.57</v>
      </c>
      <c r="AZ21" s="2">
        <v>0.92</v>
      </c>
      <c r="BA21" s="2">
        <v>5.47</v>
      </c>
      <c r="BB21" s="2">
        <v>1.18</v>
      </c>
      <c r="BC21" s="2">
        <v>3.23</v>
      </c>
      <c r="BD21" s="2">
        <v>0.47</v>
      </c>
      <c r="BE21" s="2">
        <v>3.01</v>
      </c>
      <c r="BF21" s="2">
        <v>0.46</v>
      </c>
      <c r="BG21" s="5" t="s">
        <v>1</v>
      </c>
    </row>
    <row r="22" spans="1:59" ht="15.75" x14ac:dyDescent="0.15">
      <c r="A22" s="2" t="s">
        <v>21</v>
      </c>
      <c r="B22" s="1" t="s">
        <v>174</v>
      </c>
      <c r="C22" s="1">
        <v>1320</v>
      </c>
      <c r="D22" s="2">
        <v>48.74</v>
      </c>
      <c r="E22" s="2">
        <v>1.62</v>
      </c>
      <c r="F22" s="2">
        <v>13.03</v>
      </c>
      <c r="G22" s="2">
        <v>14.07</v>
      </c>
      <c r="H22" s="2">
        <v>0.2</v>
      </c>
      <c r="I22" s="2">
        <v>7.26</v>
      </c>
      <c r="J22" s="2">
        <v>11.56</v>
      </c>
      <c r="K22" s="2">
        <v>1.65</v>
      </c>
      <c r="L22" s="2">
        <v>0.44</v>
      </c>
      <c r="M22" s="2">
        <v>0.12</v>
      </c>
      <c r="N22" s="2">
        <v>1.31</v>
      </c>
      <c r="O22" s="2">
        <v>100</v>
      </c>
      <c r="P22" s="2"/>
      <c r="Q22" s="2">
        <f t="shared" si="0"/>
        <v>2.09</v>
      </c>
      <c r="R22" s="2">
        <v>0.54</v>
      </c>
      <c r="S22" s="2">
        <v>50.55</v>
      </c>
      <c r="T22" s="2">
        <v>113</v>
      </c>
      <c r="U22" s="2">
        <v>15.2</v>
      </c>
      <c r="V22" s="2">
        <v>175</v>
      </c>
      <c r="W22" s="2">
        <v>23.4</v>
      </c>
      <c r="X22" s="2">
        <v>83</v>
      </c>
      <c r="Y22" s="2">
        <v>5.8</v>
      </c>
      <c r="Z22" s="2">
        <v>1.67</v>
      </c>
      <c r="AA22" s="2">
        <v>3.37</v>
      </c>
      <c r="AB22" s="2">
        <v>16</v>
      </c>
      <c r="AC22" s="2">
        <v>91</v>
      </c>
      <c r="AD22" s="2">
        <v>78</v>
      </c>
      <c r="AE22" s="2">
        <v>68</v>
      </c>
      <c r="AF22" s="2">
        <v>317</v>
      </c>
      <c r="AG22" s="2">
        <v>200</v>
      </c>
      <c r="AH22" s="2">
        <v>2.38</v>
      </c>
      <c r="AI22" s="2">
        <v>0.7</v>
      </c>
      <c r="AJ22" s="2">
        <v>33.700000000000003</v>
      </c>
      <c r="AK22" s="2">
        <v>0.43</v>
      </c>
      <c r="AL22" s="2">
        <v>44</v>
      </c>
      <c r="AM22" s="2"/>
      <c r="AN22" s="2"/>
      <c r="AO22" s="2">
        <v>0.36</v>
      </c>
      <c r="AP22" s="4">
        <v>3651.1</v>
      </c>
      <c r="AQ22" s="4">
        <v>523.94000000000005</v>
      </c>
      <c r="AR22" s="4">
        <v>9711.89</v>
      </c>
      <c r="AS22" s="2">
        <v>9.89</v>
      </c>
      <c r="AT22" s="2">
        <v>22.7</v>
      </c>
      <c r="AU22" s="2">
        <v>3</v>
      </c>
      <c r="AV22" s="2">
        <v>14.2</v>
      </c>
      <c r="AW22" s="2">
        <v>3.61</v>
      </c>
      <c r="AX22" s="2">
        <v>1.25</v>
      </c>
      <c r="AY22" s="2">
        <v>4.07</v>
      </c>
      <c r="AZ22" s="2">
        <v>0.7</v>
      </c>
      <c r="BA22" s="2">
        <v>4.08</v>
      </c>
      <c r="BB22" s="2">
        <v>0.89</v>
      </c>
      <c r="BC22" s="2">
        <v>2.4500000000000002</v>
      </c>
      <c r="BD22" s="2">
        <v>0.36</v>
      </c>
      <c r="BE22" s="2">
        <v>2.31</v>
      </c>
      <c r="BF22" s="2">
        <v>0.35</v>
      </c>
      <c r="BG22" s="5" t="s">
        <v>1</v>
      </c>
    </row>
    <row r="23" spans="1:59" ht="15.75" x14ac:dyDescent="0.15">
      <c r="A23" s="2" t="s">
        <v>22</v>
      </c>
      <c r="B23" s="1" t="s">
        <v>174</v>
      </c>
      <c r="C23" s="1">
        <v>1320</v>
      </c>
      <c r="D23" s="2">
        <v>49.3</v>
      </c>
      <c r="E23" s="2">
        <v>1.49</v>
      </c>
      <c r="F23" s="2">
        <v>14.14</v>
      </c>
      <c r="G23" s="2">
        <v>12.29</v>
      </c>
      <c r="H23" s="2">
        <v>0.18</v>
      </c>
      <c r="I23" s="2">
        <v>6.76</v>
      </c>
      <c r="J23" s="2">
        <v>11.65</v>
      </c>
      <c r="K23" s="2">
        <v>1.86</v>
      </c>
      <c r="L23" s="2">
        <v>0.67</v>
      </c>
      <c r="M23" s="2">
        <v>0.14000000000000001</v>
      </c>
      <c r="N23" s="2">
        <v>1.55</v>
      </c>
      <c r="O23" s="2">
        <v>100.03</v>
      </c>
      <c r="P23" s="2"/>
      <c r="Q23" s="2">
        <f t="shared" si="0"/>
        <v>2.5300000000000002</v>
      </c>
      <c r="R23" s="2">
        <v>0.56999999999999995</v>
      </c>
      <c r="S23" s="2">
        <v>52.15</v>
      </c>
      <c r="T23" s="2">
        <v>113</v>
      </c>
      <c r="U23" s="2">
        <v>24</v>
      </c>
      <c r="V23" s="2">
        <v>181</v>
      </c>
      <c r="W23" s="2">
        <v>25</v>
      </c>
      <c r="X23" s="2">
        <v>98</v>
      </c>
      <c r="Y23" s="2">
        <v>6.5</v>
      </c>
      <c r="Z23" s="2">
        <v>1.95</v>
      </c>
      <c r="AA23" s="2">
        <v>3.33</v>
      </c>
      <c r="AB23" s="2">
        <v>17.2</v>
      </c>
      <c r="AC23" s="2">
        <v>79</v>
      </c>
      <c r="AD23" s="2">
        <v>84</v>
      </c>
      <c r="AE23" s="2">
        <v>65</v>
      </c>
      <c r="AF23" s="2">
        <v>309</v>
      </c>
      <c r="AG23" s="2">
        <v>306</v>
      </c>
      <c r="AH23" s="2">
        <v>2.78</v>
      </c>
      <c r="AI23" s="2">
        <v>0.4</v>
      </c>
      <c r="AJ23" s="2">
        <v>36.200000000000003</v>
      </c>
      <c r="AK23" s="2">
        <v>0.49</v>
      </c>
      <c r="AL23" s="2">
        <v>39</v>
      </c>
      <c r="AM23" s="2"/>
      <c r="AN23" s="2"/>
      <c r="AO23" s="2">
        <v>0.39</v>
      </c>
      <c r="AP23" s="4">
        <v>5559.63</v>
      </c>
      <c r="AQ23" s="4">
        <v>611.27</v>
      </c>
      <c r="AR23" s="4">
        <v>8932.5400000000009</v>
      </c>
      <c r="AS23" s="2">
        <v>10.9</v>
      </c>
      <c r="AT23" s="2">
        <v>25.2</v>
      </c>
      <c r="AU23" s="2">
        <v>3.3</v>
      </c>
      <c r="AV23" s="2">
        <v>15.3</v>
      </c>
      <c r="AW23" s="2">
        <v>3.92</v>
      </c>
      <c r="AX23" s="2">
        <v>1.25</v>
      </c>
      <c r="AY23" s="2">
        <v>4.4400000000000004</v>
      </c>
      <c r="AZ23" s="2">
        <v>0.75</v>
      </c>
      <c r="BA23" s="2">
        <v>4.45</v>
      </c>
      <c r="BB23" s="2">
        <v>0.93</v>
      </c>
      <c r="BC23" s="2">
        <v>2.58</v>
      </c>
      <c r="BD23" s="2">
        <v>0.39</v>
      </c>
      <c r="BE23" s="2">
        <v>2.36</v>
      </c>
      <c r="BF23" s="2">
        <v>0.37</v>
      </c>
      <c r="BG23" s="5" t="s">
        <v>1</v>
      </c>
    </row>
    <row r="24" spans="1:59" ht="15.75" x14ac:dyDescent="0.15">
      <c r="A24" s="2" t="s">
        <v>23</v>
      </c>
      <c r="B24" s="1" t="s">
        <v>174</v>
      </c>
      <c r="C24" s="1">
        <v>1320</v>
      </c>
      <c r="D24" s="2">
        <v>49.22</v>
      </c>
      <c r="E24" s="2">
        <v>1.39</v>
      </c>
      <c r="F24" s="2">
        <v>13.58</v>
      </c>
      <c r="G24" s="2">
        <v>13.75</v>
      </c>
      <c r="H24" s="2">
        <v>0.2</v>
      </c>
      <c r="I24" s="2">
        <v>6.63</v>
      </c>
      <c r="J24" s="2">
        <v>10.96</v>
      </c>
      <c r="K24" s="2">
        <v>1.88</v>
      </c>
      <c r="L24" s="2">
        <v>0.65</v>
      </c>
      <c r="M24" s="2">
        <v>0.14000000000000001</v>
      </c>
      <c r="N24" s="2">
        <v>1.59</v>
      </c>
      <c r="O24" s="2">
        <v>99.99</v>
      </c>
      <c r="P24" s="2"/>
      <c r="Q24" s="2">
        <f t="shared" si="0"/>
        <v>2.5299999999999998</v>
      </c>
      <c r="R24" s="2">
        <v>0.56999999999999995</v>
      </c>
      <c r="S24" s="2">
        <v>48.86</v>
      </c>
      <c r="T24" s="2">
        <v>122</v>
      </c>
      <c r="U24" s="2">
        <v>24.1</v>
      </c>
      <c r="V24" s="2">
        <v>174</v>
      </c>
      <c r="W24" s="2">
        <v>27</v>
      </c>
      <c r="X24" s="2">
        <v>112</v>
      </c>
      <c r="Y24" s="2">
        <v>7.2</v>
      </c>
      <c r="Z24" s="2">
        <v>2.13</v>
      </c>
      <c r="AA24" s="2">
        <v>3.48</v>
      </c>
      <c r="AB24" s="2">
        <v>17.7</v>
      </c>
      <c r="AC24" s="2">
        <v>95</v>
      </c>
      <c r="AD24" s="2">
        <v>79</v>
      </c>
      <c r="AE24" s="2">
        <v>76</v>
      </c>
      <c r="AF24" s="2">
        <v>355</v>
      </c>
      <c r="AG24" s="2">
        <v>243</v>
      </c>
      <c r="AH24" s="2">
        <v>3.02</v>
      </c>
      <c r="AI24" s="2">
        <v>0.6</v>
      </c>
      <c r="AJ24" s="2">
        <v>34.6</v>
      </c>
      <c r="AK24" s="2">
        <v>0.52</v>
      </c>
      <c r="AL24" s="2">
        <v>42</v>
      </c>
      <c r="AM24" s="2"/>
      <c r="AN24" s="2"/>
      <c r="AO24" s="2">
        <v>0.44</v>
      </c>
      <c r="AP24" s="4">
        <v>5393.68</v>
      </c>
      <c r="AQ24" s="4">
        <v>611.27</v>
      </c>
      <c r="AR24" s="4">
        <v>8333.0400000000009</v>
      </c>
      <c r="AS24" s="2">
        <v>11.9</v>
      </c>
      <c r="AT24" s="2">
        <v>27</v>
      </c>
      <c r="AU24" s="2">
        <v>3.4</v>
      </c>
      <c r="AV24" s="2">
        <v>16.3</v>
      </c>
      <c r="AW24" s="2">
        <v>4.13</v>
      </c>
      <c r="AX24" s="2">
        <v>1.33</v>
      </c>
      <c r="AY24" s="2">
        <v>4.63</v>
      </c>
      <c r="AZ24" s="2">
        <v>0.79</v>
      </c>
      <c r="BA24" s="2">
        <v>4.59</v>
      </c>
      <c r="BB24" s="2">
        <v>0.96</v>
      </c>
      <c r="BC24" s="2">
        <v>2.64</v>
      </c>
      <c r="BD24" s="2">
        <v>0.39</v>
      </c>
      <c r="BE24" s="2">
        <v>2.5</v>
      </c>
      <c r="BF24" s="2">
        <v>0.39</v>
      </c>
      <c r="BG24" s="5" t="s">
        <v>1</v>
      </c>
    </row>
    <row r="25" spans="1:59" ht="15.75" x14ac:dyDescent="0.15">
      <c r="A25" s="2" t="s">
        <v>24</v>
      </c>
      <c r="B25" s="1" t="s">
        <v>174</v>
      </c>
      <c r="C25" s="1">
        <v>1320</v>
      </c>
      <c r="D25" s="2">
        <v>48.86</v>
      </c>
      <c r="E25" s="2">
        <v>1.58</v>
      </c>
      <c r="F25" s="2">
        <v>12.79</v>
      </c>
      <c r="G25" s="2">
        <v>13.15</v>
      </c>
      <c r="H25" s="2">
        <v>0.19</v>
      </c>
      <c r="I25" s="2">
        <v>7.36</v>
      </c>
      <c r="J25" s="2">
        <v>11.81</v>
      </c>
      <c r="K25" s="2">
        <v>1.59</v>
      </c>
      <c r="L25" s="2">
        <v>0.65</v>
      </c>
      <c r="M25" s="2">
        <v>0.13</v>
      </c>
      <c r="N25" s="2">
        <v>1.89</v>
      </c>
      <c r="O25" s="2">
        <v>100</v>
      </c>
      <c r="P25" s="2"/>
      <c r="Q25" s="2">
        <f t="shared" si="0"/>
        <v>2.2400000000000002</v>
      </c>
      <c r="R25" s="2">
        <v>0.52</v>
      </c>
      <c r="S25" s="2">
        <v>52.59</v>
      </c>
      <c r="T25" s="2">
        <v>107</v>
      </c>
      <c r="U25" s="2">
        <v>22.3</v>
      </c>
      <c r="V25" s="2">
        <v>163</v>
      </c>
      <c r="W25" s="2">
        <v>23.5</v>
      </c>
      <c r="X25" s="2">
        <v>95</v>
      </c>
      <c r="Y25" s="2">
        <v>6.5</v>
      </c>
      <c r="Z25" s="2">
        <v>1.53</v>
      </c>
      <c r="AA25" s="2">
        <v>2.92</v>
      </c>
      <c r="AB25" s="2">
        <v>16.600000000000001</v>
      </c>
      <c r="AC25" s="2">
        <v>86</v>
      </c>
      <c r="AD25" s="2">
        <v>80</v>
      </c>
      <c r="AE25" s="2">
        <v>72</v>
      </c>
      <c r="AF25" s="2">
        <v>345</v>
      </c>
      <c r="AG25" s="2">
        <v>389</v>
      </c>
      <c r="AH25" s="2">
        <v>2.63</v>
      </c>
      <c r="AI25" s="2">
        <v>0.6</v>
      </c>
      <c r="AJ25" s="2">
        <v>27.4</v>
      </c>
      <c r="AK25" s="2">
        <v>0.48</v>
      </c>
      <c r="AL25" s="2">
        <v>42</v>
      </c>
      <c r="AM25" s="2"/>
      <c r="AN25" s="2"/>
      <c r="AO25" s="2">
        <v>0.39</v>
      </c>
      <c r="AP25" s="4">
        <v>5393.68</v>
      </c>
      <c r="AQ25" s="4">
        <v>567.61</v>
      </c>
      <c r="AR25" s="4">
        <v>9472.09</v>
      </c>
      <c r="AS25" s="2">
        <v>10.199999999999999</v>
      </c>
      <c r="AT25" s="2">
        <v>23.8</v>
      </c>
      <c r="AU25" s="2">
        <v>3</v>
      </c>
      <c r="AV25" s="2">
        <v>14.5</v>
      </c>
      <c r="AW25" s="2">
        <v>3.79</v>
      </c>
      <c r="AX25" s="2">
        <v>1.1499999999999999</v>
      </c>
      <c r="AY25" s="2">
        <v>4.17</v>
      </c>
      <c r="AZ25" s="2">
        <v>0.72</v>
      </c>
      <c r="BA25" s="2">
        <v>4.3</v>
      </c>
      <c r="BB25" s="2">
        <v>0.9</v>
      </c>
      <c r="BC25" s="2">
        <v>2.5099999999999998</v>
      </c>
      <c r="BD25" s="2">
        <v>0.36</v>
      </c>
      <c r="BE25" s="2">
        <v>2.29</v>
      </c>
      <c r="BF25" s="2">
        <v>0.35</v>
      </c>
      <c r="BG25" s="5" t="s">
        <v>1</v>
      </c>
    </row>
    <row r="26" spans="1:59" ht="15.75" x14ac:dyDescent="0.15">
      <c r="A26" s="2" t="s">
        <v>25</v>
      </c>
      <c r="B26" s="1" t="s">
        <v>174</v>
      </c>
      <c r="C26" s="1">
        <v>1320</v>
      </c>
      <c r="D26" s="2">
        <v>48.91</v>
      </c>
      <c r="E26" s="2">
        <v>1.75</v>
      </c>
      <c r="F26" s="2">
        <v>13.59</v>
      </c>
      <c r="G26" s="2">
        <v>13.42</v>
      </c>
      <c r="H26" s="2">
        <v>0.19</v>
      </c>
      <c r="I26" s="2">
        <v>6.41</v>
      </c>
      <c r="J26" s="2">
        <v>10.98</v>
      </c>
      <c r="K26" s="2">
        <v>1.99</v>
      </c>
      <c r="L26" s="2">
        <v>0.69</v>
      </c>
      <c r="M26" s="2">
        <v>0.16</v>
      </c>
      <c r="N26" s="2">
        <v>1.91</v>
      </c>
      <c r="O26" s="2">
        <v>100</v>
      </c>
      <c r="P26" s="2"/>
      <c r="Q26" s="2">
        <f t="shared" si="0"/>
        <v>2.6799999999999997</v>
      </c>
      <c r="R26" s="2">
        <v>0.56999999999999995</v>
      </c>
      <c r="S26" s="2">
        <v>48.61</v>
      </c>
      <c r="T26" s="2">
        <v>130</v>
      </c>
      <c r="U26" s="2">
        <v>25.9</v>
      </c>
      <c r="V26" s="2">
        <v>176</v>
      </c>
      <c r="W26" s="2">
        <v>29.3</v>
      </c>
      <c r="X26" s="2">
        <v>119</v>
      </c>
      <c r="Y26" s="2">
        <v>8.1999999999999993</v>
      </c>
      <c r="Z26" s="2">
        <v>2.2999999999999998</v>
      </c>
      <c r="AA26" s="2">
        <v>4.04</v>
      </c>
      <c r="AB26" s="2">
        <v>18.899999999999999</v>
      </c>
      <c r="AC26" s="2">
        <v>97</v>
      </c>
      <c r="AD26" s="2">
        <v>104</v>
      </c>
      <c r="AE26" s="2">
        <v>64</v>
      </c>
      <c r="AF26" s="2">
        <v>328</v>
      </c>
      <c r="AG26" s="2">
        <v>227</v>
      </c>
      <c r="AH26" s="2">
        <v>3.2</v>
      </c>
      <c r="AI26" s="2">
        <v>0.6</v>
      </c>
      <c r="AJ26" s="2">
        <v>31.5</v>
      </c>
      <c r="AK26" s="2">
        <v>0.59</v>
      </c>
      <c r="AL26" s="2">
        <v>42</v>
      </c>
      <c r="AM26" s="2"/>
      <c r="AN26" s="2"/>
      <c r="AO26" s="2">
        <v>0.47</v>
      </c>
      <c r="AP26" s="4">
        <v>5725.59</v>
      </c>
      <c r="AQ26" s="4">
        <v>698.59</v>
      </c>
      <c r="AR26" s="4">
        <v>10491.24</v>
      </c>
      <c r="AS26" s="2">
        <v>13</v>
      </c>
      <c r="AT26" s="2">
        <v>29.9</v>
      </c>
      <c r="AU26" s="2">
        <v>3.9</v>
      </c>
      <c r="AV26" s="2">
        <v>17.899999999999999</v>
      </c>
      <c r="AW26" s="2">
        <v>4.57</v>
      </c>
      <c r="AX26" s="2">
        <v>1.35</v>
      </c>
      <c r="AY26" s="2">
        <v>4.97</v>
      </c>
      <c r="AZ26" s="2">
        <v>0.85</v>
      </c>
      <c r="BA26" s="2">
        <v>5.09</v>
      </c>
      <c r="BB26" s="2">
        <v>1.04</v>
      </c>
      <c r="BC26" s="2">
        <v>2.91</v>
      </c>
      <c r="BD26" s="2">
        <v>0.42</v>
      </c>
      <c r="BE26" s="2">
        <v>2.74</v>
      </c>
      <c r="BF26" s="2">
        <v>0.42</v>
      </c>
      <c r="BG26" s="5" t="s">
        <v>1</v>
      </c>
    </row>
    <row r="27" spans="1:59" ht="15.75" x14ac:dyDescent="0.15">
      <c r="A27" s="2" t="s">
        <v>26</v>
      </c>
      <c r="B27" s="1" t="s">
        <v>174</v>
      </c>
      <c r="C27" s="1">
        <v>1320</v>
      </c>
      <c r="D27" s="2">
        <v>50.02</v>
      </c>
      <c r="E27" s="2">
        <v>1.96</v>
      </c>
      <c r="F27" s="2">
        <v>13.34</v>
      </c>
      <c r="G27" s="2">
        <v>14.75</v>
      </c>
      <c r="H27" s="2">
        <v>0.19</v>
      </c>
      <c r="I27" s="2">
        <v>6.32</v>
      </c>
      <c r="J27" s="2">
        <v>10.42</v>
      </c>
      <c r="K27" s="2">
        <v>1.3</v>
      </c>
      <c r="L27" s="2">
        <v>0.67</v>
      </c>
      <c r="M27" s="2">
        <v>0.17</v>
      </c>
      <c r="N27" s="2">
        <v>1</v>
      </c>
      <c r="O27" s="2">
        <v>100.14</v>
      </c>
      <c r="P27" s="2"/>
      <c r="Q27" s="2">
        <f t="shared" si="0"/>
        <v>1.9700000000000002</v>
      </c>
      <c r="R27" s="2">
        <v>0.61</v>
      </c>
      <c r="S27" s="2">
        <v>45.92</v>
      </c>
      <c r="T27" s="2">
        <v>121.7</v>
      </c>
      <c r="U27" s="2">
        <v>19.68</v>
      </c>
      <c r="V27" s="2">
        <v>155.5</v>
      </c>
      <c r="W27" s="2">
        <v>26.92</v>
      </c>
      <c r="X27" s="2">
        <v>123.9</v>
      </c>
      <c r="Y27" s="2">
        <v>8.27</v>
      </c>
      <c r="Z27" s="2">
        <v>2.17</v>
      </c>
      <c r="AA27" s="2">
        <v>3.07</v>
      </c>
      <c r="AB27" s="2">
        <v>19.61</v>
      </c>
      <c r="AC27" s="2">
        <v>58.25</v>
      </c>
      <c r="AD27" s="2">
        <v>57.89</v>
      </c>
      <c r="AE27" s="2">
        <v>67.430000000000007</v>
      </c>
      <c r="AF27" s="2">
        <v>420.02</v>
      </c>
      <c r="AG27" s="2">
        <v>134.71</v>
      </c>
      <c r="AH27" s="2">
        <v>3.38</v>
      </c>
      <c r="AI27" s="2">
        <v>0.68</v>
      </c>
      <c r="AJ27" s="2">
        <v>39.369999999999997</v>
      </c>
      <c r="AK27" s="2">
        <v>0.73</v>
      </c>
      <c r="AL27" s="2">
        <v>44</v>
      </c>
      <c r="AM27" s="2">
        <v>10.18</v>
      </c>
      <c r="AN27" s="2">
        <v>0.68</v>
      </c>
      <c r="AO27" s="2">
        <v>0.47</v>
      </c>
      <c r="AP27" s="4">
        <v>5559.63</v>
      </c>
      <c r="AQ27" s="4">
        <v>742.25</v>
      </c>
      <c r="AR27" s="4">
        <v>11750.19</v>
      </c>
      <c r="AS27" s="2">
        <v>13.09</v>
      </c>
      <c r="AT27" s="2">
        <v>29.05</v>
      </c>
      <c r="AU27" s="2">
        <v>3.81</v>
      </c>
      <c r="AV27" s="2">
        <v>18.190000000000001</v>
      </c>
      <c r="AW27" s="2">
        <v>4.6399999999999997</v>
      </c>
      <c r="AX27" s="2">
        <v>1.5</v>
      </c>
      <c r="AY27" s="2">
        <v>5.04</v>
      </c>
      <c r="AZ27" s="2">
        <v>0.66</v>
      </c>
      <c r="BA27" s="2">
        <v>5.04</v>
      </c>
      <c r="BB27" s="2">
        <v>1.1100000000000001</v>
      </c>
      <c r="BC27" s="2">
        <v>3.16</v>
      </c>
      <c r="BD27" s="2">
        <v>0.44</v>
      </c>
      <c r="BE27" s="2">
        <v>2.71</v>
      </c>
      <c r="BF27" s="2">
        <v>0.44</v>
      </c>
      <c r="BG27" s="5" t="s">
        <v>27</v>
      </c>
    </row>
    <row r="28" spans="1:59" ht="15.75" x14ac:dyDescent="0.15">
      <c r="A28" s="2" t="s">
        <v>28</v>
      </c>
      <c r="B28" s="1" t="s">
        <v>174</v>
      </c>
      <c r="C28" s="1">
        <v>1320</v>
      </c>
      <c r="D28" s="2">
        <v>48.68</v>
      </c>
      <c r="E28" s="2">
        <v>1.93</v>
      </c>
      <c r="F28" s="2">
        <v>14.31</v>
      </c>
      <c r="G28" s="2">
        <v>15.24</v>
      </c>
      <c r="H28" s="2">
        <v>0.19</v>
      </c>
      <c r="I28" s="2">
        <v>6.67</v>
      </c>
      <c r="J28" s="2">
        <v>8.4700000000000006</v>
      </c>
      <c r="K28" s="2">
        <v>1.1299999999999999</v>
      </c>
      <c r="L28" s="2">
        <v>1.28</v>
      </c>
      <c r="M28" s="2">
        <v>0.18</v>
      </c>
      <c r="N28" s="2">
        <v>1.92</v>
      </c>
      <c r="O28" s="2">
        <v>100</v>
      </c>
      <c r="P28" s="2"/>
      <c r="Q28" s="2">
        <f t="shared" si="0"/>
        <v>2.41</v>
      </c>
      <c r="R28" s="2">
        <v>0.77</v>
      </c>
      <c r="S28" s="2">
        <v>46.45</v>
      </c>
      <c r="T28" s="2">
        <v>314</v>
      </c>
      <c r="U28" s="2">
        <v>35.58</v>
      </c>
      <c r="V28" s="2">
        <v>160.19999999999999</v>
      </c>
      <c r="W28" s="2">
        <v>23.56</v>
      </c>
      <c r="X28" s="2">
        <v>122.32</v>
      </c>
      <c r="Y28" s="2">
        <v>8.49</v>
      </c>
      <c r="Z28" s="2">
        <v>2.0299999999999998</v>
      </c>
      <c r="AA28" s="2">
        <v>3.34</v>
      </c>
      <c r="AB28" s="2">
        <v>18.38</v>
      </c>
      <c r="AC28" s="2">
        <v>70.61</v>
      </c>
      <c r="AD28" s="2">
        <v>62.51</v>
      </c>
      <c r="AE28" s="2">
        <v>126.92</v>
      </c>
      <c r="AF28" s="2">
        <v>320.12</v>
      </c>
      <c r="AG28" s="2">
        <v>109.2</v>
      </c>
      <c r="AH28" s="2">
        <v>3.25</v>
      </c>
      <c r="AI28" s="2">
        <v>2.29</v>
      </c>
      <c r="AJ28" s="2">
        <v>27.66</v>
      </c>
      <c r="AK28" s="2">
        <v>0.65</v>
      </c>
      <c r="AL28" s="2">
        <v>47.38</v>
      </c>
      <c r="AM28" s="2">
        <v>18.190000000000001</v>
      </c>
      <c r="AN28" s="2">
        <v>0.64</v>
      </c>
      <c r="AO28" s="2">
        <v>0.46</v>
      </c>
      <c r="AP28" s="4">
        <v>10621.39</v>
      </c>
      <c r="AQ28" s="4">
        <v>785.92</v>
      </c>
      <c r="AR28" s="4">
        <v>11570.34</v>
      </c>
      <c r="AS28" s="2">
        <v>13.16</v>
      </c>
      <c r="AT28" s="2">
        <v>29.41</v>
      </c>
      <c r="AU28" s="2">
        <v>3.94</v>
      </c>
      <c r="AV28" s="2">
        <v>17.03</v>
      </c>
      <c r="AW28" s="2">
        <v>4.25</v>
      </c>
      <c r="AX28" s="2">
        <v>1.36</v>
      </c>
      <c r="AY28" s="2">
        <v>4.7</v>
      </c>
      <c r="AZ28" s="2">
        <v>0.66</v>
      </c>
      <c r="BA28" s="2">
        <v>4.8499999999999996</v>
      </c>
      <c r="BB28" s="2">
        <v>1.04</v>
      </c>
      <c r="BC28" s="2">
        <v>3</v>
      </c>
      <c r="BD28" s="2">
        <v>0.42</v>
      </c>
      <c r="BE28" s="2">
        <v>2.4900000000000002</v>
      </c>
      <c r="BF28" s="2">
        <v>0.41</v>
      </c>
      <c r="BG28" s="5" t="s">
        <v>27</v>
      </c>
    </row>
    <row r="29" spans="1:59" ht="15.75" x14ac:dyDescent="0.15">
      <c r="A29" s="2" t="s">
        <v>29</v>
      </c>
      <c r="B29" s="1" t="s">
        <v>174</v>
      </c>
      <c r="C29" s="1">
        <v>1320</v>
      </c>
      <c r="D29" s="2">
        <v>48.51</v>
      </c>
      <c r="E29" s="2">
        <v>3.72</v>
      </c>
      <c r="F29" s="2">
        <v>11.91</v>
      </c>
      <c r="G29" s="2">
        <v>20.16</v>
      </c>
      <c r="H29" s="2">
        <v>0.23</v>
      </c>
      <c r="I29" s="2">
        <v>3.26</v>
      </c>
      <c r="J29" s="2">
        <v>8.1199999999999992</v>
      </c>
      <c r="K29" s="2">
        <v>1.1499999999999999</v>
      </c>
      <c r="L29" s="2">
        <v>0.99</v>
      </c>
      <c r="M29" s="2">
        <v>0.31</v>
      </c>
      <c r="N29" s="2">
        <v>1.46</v>
      </c>
      <c r="O29" s="2">
        <v>99.82</v>
      </c>
      <c r="P29" s="2"/>
      <c r="Q29" s="2">
        <f t="shared" si="0"/>
        <v>2.1399999999999997</v>
      </c>
      <c r="R29" s="2">
        <v>0.67</v>
      </c>
      <c r="S29" s="2">
        <v>24.27</v>
      </c>
      <c r="T29" s="2">
        <v>273</v>
      </c>
      <c r="U29" s="2">
        <v>31.44</v>
      </c>
      <c r="V29" s="2">
        <v>196.4</v>
      </c>
      <c r="W29" s="2">
        <v>40.950000000000003</v>
      </c>
      <c r="X29" s="2">
        <v>230.1</v>
      </c>
      <c r="Y29" s="2">
        <v>14.89</v>
      </c>
      <c r="Z29" s="2">
        <v>3.58</v>
      </c>
      <c r="AA29" s="2">
        <v>7.17</v>
      </c>
      <c r="AB29" s="2">
        <v>24.45</v>
      </c>
      <c r="AC29" s="2">
        <v>109.66</v>
      </c>
      <c r="AD29" s="2">
        <v>119.3</v>
      </c>
      <c r="AE29" s="2">
        <v>28.02</v>
      </c>
      <c r="AF29" s="2">
        <v>633.62</v>
      </c>
      <c r="AG29" s="2">
        <v>13.69</v>
      </c>
      <c r="AH29" s="2">
        <v>6.69</v>
      </c>
      <c r="AI29" s="2">
        <v>1.48</v>
      </c>
      <c r="AJ29" s="2">
        <v>40.17</v>
      </c>
      <c r="AK29" s="2">
        <v>1.26</v>
      </c>
      <c r="AL29" s="2">
        <v>45.55</v>
      </c>
      <c r="AM29" s="2">
        <v>19.09</v>
      </c>
      <c r="AN29" s="2">
        <v>1.08</v>
      </c>
      <c r="AO29" s="2">
        <v>0.72</v>
      </c>
      <c r="AP29" s="4">
        <v>8214.98</v>
      </c>
      <c r="AQ29" s="4">
        <v>1353.52</v>
      </c>
      <c r="AR29" s="4">
        <v>22301.38</v>
      </c>
      <c r="AS29" s="2">
        <v>22.32</v>
      </c>
      <c r="AT29" s="2">
        <v>50.56</v>
      </c>
      <c r="AU29" s="2">
        <v>6.67</v>
      </c>
      <c r="AV29" s="2">
        <v>30.82</v>
      </c>
      <c r="AW29" s="2">
        <v>7.73</v>
      </c>
      <c r="AX29" s="2">
        <v>2.44</v>
      </c>
      <c r="AY29" s="2">
        <v>8.0500000000000007</v>
      </c>
      <c r="AZ29" s="2">
        <v>1.1000000000000001</v>
      </c>
      <c r="BA29" s="2">
        <v>8.74</v>
      </c>
      <c r="BB29" s="2">
        <v>1.88</v>
      </c>
      <c r="BC29" s="2">
        <v>5.25</v>
      </c>
      <c r="BD29" s="2">
        <v>0.76</v>
      </c>
      <c r="BE29" s="2">
        <v>4.47</v>
      </c>
      <c r="BF29" s="2">
        <v>0.75</v>
      </c>
      <c r="BG29" s="5" t="s">
        <v>27</v>
      </c>
    </row>
    <row r="30" spans="1:59" ht="15.75" x14ac:dyDescent="0.15">
      <c r="A30" s="2" t="s">
        <v>30</v>
      </c>
      <c r="B30" s="1" t="s">
        <v>174</v>
      </c>
      <c r="C30" s="1">
        <v>1320</v>
      </c>
      <c r="D30" s="2">
        <v>50</v>
      </c>
      <c r="E30" s="2">
        <v>1.86</v>
      </c>
      <c r="F30" s="2">
        <v>14.06</v>
      </c>
      <c r="G30" s="2">
        <v>13.85</v>
      </c>
      <c r="H30" s="2">
        <v>0.38</v>
      </c>
      <c r="I30" s="2">
        <v>6.5</v>
      </c>
      <c r="J30" s="2">
        <v>8.09</v>
      </c>
      <c r="K30" s="2">
        <v>1.54</v>
      </c>
      <c r="L30" s="2">
        <v>1.55</v>
      </c>
      <c r="M30" s="2">
        <v>0.16</v>
      </c>
      <c r="N30" s="2">
        <v>2.08</v>
      </c>
      <c r="O30" s="2">
        <v>100.07</v>
      </c>
      <c r="P30" s="2"/>
      <c r="Q30" s="2">
        <f t="shared" si="0"/>
        <v>3.09</v>
      </c>
      <c r="R30" s="2">
        <v>0.74</v>
      </c>
      <c r="S30" s="2">
        <v>48.19</v>
      </c>
      <c r="T30" s="2">
        <v>366.5</v>
      </c>
      <c r="U30" s="2">
        <v>49.86</v>
      </c>
      <c r="V30" s="2">
        <v>164.1</v>
      </c>
      <c r="W30" s="2">
        <v>21.12</v>
      </c>
      <c r="X30" s="2">
        <v>109.91</v>
      </c>
      <c r="Y30" s="2">
        <v>7.35</v>
      </c>
      <c r="Z30" s="2">
        <v>2.25</v>
      </c>
      <c r="AA30" s="2">
        <v>1.97</v>
      </c>
      <c r="AB30" s="2">
        <v>20.09</v>
      </c>
      <c r="AC30" s="2">
        <v>60.9</v>
      </c>
      <c r="AD30" s="2">
        <v>243.85</v>
      </c>
      <c r="AE30" s="2">
        <v>75.89</v>
      </c>
      <c r="AF30" s="2">
        <v>377.21</v>
      </c>
      <c r="AG30" s="2">
        <v>121.49</v>
      </c>
      <c r="AH30" s="2">
        <v>3.26</v>
      </c>
      <c r="AI30" s="2">
        <v>3.46</v>
      </c>
      <c r="AJ30" s="2">
        <v>34.299999999999997</v>
      </c>
      <c r="AK30" s="2">
        <v>0.62</v>
      </c>
      <c r="AL30" s="2">
        <v>44.24</v>
      </c>
      <c r="AM30" s="2">
        <v>28.16</v>
      </c>
      <c r="AN30" s="2">
        <v>0.72</v>
      </c>
      <c r="AO30" s="2">
        <v>0.47</v>
      </c>
      <c r="AP30" s="4">
        <v>12861.84</v>
      </c>
      <c r="AQ30" s="4">
        <v>698.59</v>
      </c>
      <c r="AR30" s="4">
        <v>11150.69</v>
      </c>
      <c r="AS30" s="2">
        <v>11.96</v>
      </c>
      <c r="AT30" s="2">
        <v>26.59</v>
      </c>
      <c r="AU30" s="2">
        <v>3.54</v>
      </c>
      <c r="AV30" s="2">
        <v>15.99</v>
      </c>
      <c r="AW30" s="2">
        <v>3.73</v>
      </c>
      <c r="AX30" s="2">
        <v>1.21</v>
      </c>
      <c r="AY30" s="2">
        <v>4.4000000000000004</v>
      </c>
      <c r="AZ30" s="2">
        <v>0.62</v>
      </c>
      <c r="BA30" s="2">
        <v>4.57</v>
      </c>
      <c r="BB30" s="2">
        <v>0.93</v>
      </c>
      <c r="BC30" s="2">
        <v>2.68</v>
      </c>
      <c r="BD30" s="2">
        <v>0.39</v>
      </c>
      <c r="BE30" s="2">
        <v>2.3199999999999998</v>
      </c>
      <c r="BF30" s="2">
        <v>0.41</v>
      </c>
      <c r="BG30" s="5" t="s">
        <v>27</v>
      </c>
    </row>
    <row r="31" spans="1:59" ht="15.75" x14ac:dyDescent="0.15">
      <c r="A31" s="2" t="s">
        <v>31</v>
      </c>
      <c r="B31" s="1" t="s">
        <v>174</v>
      </c>
      <c r="C31" s="1">
        <v>1320</v>
      </c>
      <c r="D31" s="2">
        <v>49.12</v>
      </c>
      <c r="E31" s="2">
        <v>2.4900000000000002</v>
      </c>
      <c r="F31" s="2">
        <v>12.5</v>
      </c>
      <c r="G31" s="2">
        <v>15.6</v>
      </c>
      <c r="H31" s="2">
        <v>0.21</v>
      </c>
      <c r="I31" s="2">
        <v>5.29</v>
      </c>
      <c r="J31" s="2">
        <v>10.07</v>
      </c>
      <c r="K31" s="2">
        <v>1.68</v>
      </c>
      <c r="L31" s="2">
        <v>0.77</v>
      </c>
      <c r="M31" s="2">
        <v>0.21</v>
      </c>
      <c r="N31" s="2">
        <v>1.96</v>
      </c>
      <c r="O31" s="2">
        <v>99.9</v>
      </c>
      <c r="P31" s="2"/>
      <c r="Q31" s="2">
        <f t="shared" si="0"/>
        <v>2.4500000000000002</v>
      </c>
      <c r="R31" s="2">
        <v>0.56999999999999995</v>
      </c>
      <c r="S31" s="2">
        <v>40.18</v>
      </c>
      <c r="T31" s="2">
        <v>185.1</v>
      </c>
      <c r="U31" s="2">
        <v>25.44</v>
      </c>
      <c r="V31" s="2">
        <v>182.6</v>
      </c>
      <c r="W31" s="2">
        <v>33.07</v>
      </c>
      <c r="X31" s="2">
        <v>159.1</v>
      </c>
      <c r="Y31" s="2">
        <v>10.69</v>
      </c>
      <c r="Z31" s="2">
        <v>3.036</v>
      </c>
      <c r="AA31" s="2">
        <v>4.0629999999999997</v>
      </c>
      <c r="AB31" s="2">
        <v>22.2</v>
      </c>
      <c r="AC31" s="2">
        <v>147.69999999999999</v>
      </c>
      <c r="AD31" s="2">
        <v>133.4</v>
      </c>
      <c r="AE31" s="2">
        <v>58.49</v>
      </c>
      <c r="AF31" s="2">
        <v>456.9</v>
      </c>
      <c r="AG31" s="2">
        <v>141.30000000000001</v>
      </c>
      <c r="AH31" s="2">
        <v>4.2629999999999999</v>
      </c>
      <c r="AI31" s="2">
        <v>1.1859999999999999</v>
      </c>
      <c r="AJ31" s="2">
        <v>44.32</v>
      </c>
      <c r="AK31" s="2">
        <v>0.36099999999999999</v>
      </c>
      <c r="AL31" s="2">
        <v>50.52</v>
      </c>
      <c r="AM31" s="2"/>
      <c r="AN31" s="2"/>
      <c r="AO31" s="2">
        <v>0.63700000000000001</v>
      </c>
      <c r="AP31" s="4">
        <v>6389.43</v>
      </c>
      <c r="AQ31" s="4">
        <v>916.9</v>
      </c>
      <c r="AR31" s="4">
        <v>14927.53</v>
      </c>
      <c r="AS31" s="2">
        <v>17.13</v>
      </c>
      <c r="AT31" s="2">
        <v>40.229999999999997</v>
      </c>
      <c r="AU31" s="2">
        <v>5.5229999999999997</v>
      </c>
      <c r="AV31" s="2">
        <v>24.36</v>
      </c>
      <c r="AW31" s="2">
        <v>5.9260000000000002</v>
      </c>
      <c r="AX31" s="2">
        <v>1.8560000000000001</v>
      </c>
      <c r="AY31" s="2">
        <v>6.0880000000000001</v>
      </c>
      <c r="AZ31" s="2">
        <v>1.036</v>
      </c>
      <c r="BA31" s="2">
        <v>6.5990000000000002</v>
      </c>
      <c r="BB31" s="2">
        <v>1.3740000000000001</v>
      </c>
      <c r="BC31" s="2">
        <v>3.66</v>
      </c>
      <c r="BD31" s="2">
        <v>0.52200000000000002</v>
      </c>
      <c r="BE31" s="2">
        <v>3.2639999999999998</v>
      </c>
      <c r="BF31" s="2">
        <v>0.51400000000000001</v>
      </c>
      <c r="BG31" s="5" t="s">
        <v>32</v>
      </c>
    </row>
    <row r="32" spans="1:59" ht="15.75" x14ac:dyDescent="0.15">
      <c r="A32" s="2" t="s">
        <v>33</v>
      </c>
      <c r="B32" s="1" t="s">
        <v>174</v>
      </c>
      <c r="C32" s="1">
        <v>1320</v>
      </c>
      <c r="D32" s="2">
        <v>49.94</v>
      </c>
      <c r="E32" s="2">
        <v>3.45</v>
      </c>
      <c r="F32" s="2">
        <v>11.07</v>
      </c>
      <c r="G32" s="2">
        <v>18.91</v>
      </c>
      <c r="H32" s="2">
        <v>0.22</v>
      </c>
      <c r="I32" s="2">
        <v>3.45</v>
      </c>
      <c r="J32" s="2">
        <v>7.74</v>
      </c>
      <c r="K32" s="2">
        <v>1.83</v>
      </c>
      <c r="L32" s="2">
        <v>1.28</v>
      </c>
      <c r="M32" s="2">
        <v>0.3</v>
      </c>
      <c r="N32" s="2">
        <v>1.75</v>
      </c>
      <c r="O32" s="2">
        <v>99.94</v>
      </c>
      <c r="P32" s="2"/>
      <c r="Q32" s="2">
        <f t="shared" si="0"/>
        <v>3.1100000000000003</v>
      </c>
      <c r="R32" s="2">
        <v>0.6</v>
      </c>
      <c r="S32" s="2">
        <v>26.55</v>
      </c>
      <c r="T32" s="2">
        <v>327.2</v>
      </c>
      <c r="U32" s="2">
        <v>45.41</v>
      </c>
      <c r="V32" s="2">
        <v>161.69999999999999</v>
      </c>
      <c r="W32" s="2">
        <v>43.97</v>
      </c>
      <c r="X32" s="2">
        <v>222.2</v>
      </c>
      <c r="Y32" s="2">
        <v>14.6</v>
      </c>
      <c r="Z32" s="2">
        <v>4.4249999999999998</v>
      </c>
      <c r="AA32" s="2">
        <v>6.6230000000000002</v>
      </c>
      <c r="AB32" s="2">
        <v>23.02</v>
      </c>
      <c r="AC32" s="2">
        <v>164.5</v>
      </c>
      <c r="AD32" s="2">
        <v>184.4</v>
      </c>
      <c r="AE32" s="2">
        <v>19.489999999999998</v>
      </c>
      <c r="AF32" s="2">
        <v>443.7</v>
      </c>
      <c r="AG32" s="2">
        <v>6.0060000000000002</v>
      </c>
      <c r="AH32" s="2">
        <v>6.0259999999999998</v>
      </c>
      <c r="AI32" s="2">
        <v>2.673</v>
      </c>
      <c r="AJ32" s="2">
        <v>37.979999999999997</v>
      </c>
      <c r="AK32" s="2">
        <v>1.006</v>
      </c>
      <c r="AL32" s="2">
        <v>46.2</v>
      </c>
      <c r="AM32" s="2"/>
      <c r="AN32" s="2"/>
      <c r="AO32" s="2">
        <v>0.92</v>
      </c>
      <c r="AP32" s="4">
        <v>10621.39</v>
      </c>
      <c r="AQ32" s="4">
        <v>1309.8599999999999</v>
      </c>
      <c r="AR32" s="4">
        <v>20682.73</v>
      </c>
      <c r="AS32" s="2">
        <v>23.47</v>
      </c>
      <c r="AT32" s="2">
        <v>55.79</v>
      </c>
      <c r="AU32" s="2">
        <v>7.5709999999999997</v>
      </c>
      <c r="AV32" s="2">
        <v>33.71</v>
      </c>
      <c r="AW32" s="2">
        <v>7.9749999999999996</v>
      </c>
      <c r="AX32" s="2">
        <v>2.3250000000000002</v>
      </c>
      <c r="AY32" s="2">
        <v>8.0939999999999994</v>
      </c>
      <c r="AZ32" s="2">
        <v>1.357</v>
      </c>
      <c r="BA32" s="2">
        <v>8.6690000000000005</v>
      </c>
      <c r="BB32" s="2">
        <v>1.802</v>
      </c>
      <c r="BC32" s="2">
        <v>4.851</v>
      </c>
      <c r="BD32" s="2">
        <v>0.67800000000000005</v>
      </c>
      <c r="BE32" s="2">
        <v>4.3209999999999997</v>
      </c>
      <c r="BF32" s="2">
        <v>0.67700000000000005</v>
      </c>
      <c r="BG32" s="5" t="s">
        <v>32</v>
      </c>
    </row>
    <row r="33" spans="1:59" ht="15.75" x14ac:dyDescent="0.15">
      <c r="A33" s="2" t="s">
        <v>34</v>
      </c>
      <c r="B33" s="1" t="s">
        <v>174</v>
      </c>
      <c r="C33" s="1">
        <v>1320</v>
      </c>
      <c r="D33" s="2">
        <v>47.76</v>
      </c>
      <c r="E33" s="2">
        <v>1.88</v>
      </c>
      <c r="F33" s="2">
        <v>15.03</v>
      </c>
      <c r="G33" s="2">
        <v>15.5</v>
      </c>
      <c r="H33" s="2">
        <v>0.19</v>
      </c>
      <c r="I33" s="2">
        <v>6.35</v>
      </c>
      <c r="J33" s="2">
        <v>8.58</v>
      </c>
      <c r="K33" s="2">
        <v>2.15</v>
      </c>
      <c r="L33" s="2">
        <v>0.93</v>
      </c>
      <c r="M33" s="2">
        <v>0.18</v>
      </c>
      <c r="N33" s="2">
        <v>1.2</v>
      </c>
      <c r="O33" s="2">
        <v>99.75</v>
      </c>
      <c r="P33" s="2"/>
      <c r="Q33" s="2">
        <f t="shared" si="0"/>
        <v>3.08</v>
      </c>
      <c r="R33" s="2">
        <v>0.75</v>
      </c>
      <c r="S33" s="2">
        <v>44.8</v>
      </c>
      <c r="T33" s="2">
        <v>317.60000000000002</v>
      </c>
      <c r="U33" s="2">
        <v>24.22</v>
      </c>
      <c r="V33" s="2">
        <v>228.6</v>
      </c>
      <c r="W33" s="2">
        <v>24.57</v>
      </c>
      <c r="X33" s="2">
        <v>116.09</v>
      </c>
      <c r="Y33" s="2">
        <v>8.4600000000000009</v>
      </c>
      <c r="Z33" s="2">
        <v>2.13</v>
      </c>
      <c r="AA33" s="2">
        <v>5.44</v>
      </c>
      <c r="AB33" s="2">
        <v>19.95</v>
      </c>
      <c r="AC33" s="2">
        <v>104.9</v>
      </c>
      <c r="AD33" s="2">
        <v>61.14</v>
      </c>
      <c r="AE33" s="2">
        <v>132.36000000000001</v>
      </c>
      <c r="AF33" s="2">
        <v>326.58</v>
      </c>
      <c r="AG33" s="2">
        <v>83.13</v>
      </c>
      <c r="AH33" s="2">
        <v>3.44</v>
      </c>
      <c r="AI33" s="2">
        <v>1.96</v>
      </c>
      <c r="AJ33" s="2">
        <v>27.35</v>
      </c>
      <c r="AK33" s="2">
        <v>0.69</v>
      </c>
      <c r="AL33" s="2">
        <v>52.89</v>
      </c>
      <c r="AM33" s="2">
        <v>16.940000000000001</v>
      </c>
      <c r="AN33" s="2">
        <v>0.64</v>
      </c>
      <c r="AO33" s="2">
        <v>0.55000000000000004</v>
      </c>
      <c r="AP33" s="4">
        <v>7717.11</v>
      </c>
      <c r="AQ33" s="4">
        <v>785.92</v>
      </c>
      <c r="AR33" s="4">
        <v>11270.59</v>
      </c>
      <c r="AS33" s="2">
        <v>13.48</v>
      </c>
      <c r="AT33" s="2">
        <v>31.26</v>
      </c>
      <c r="AU33" s="2">
        <v>3.87</v>
      </c>
      <c r="AV33" s="2">
        <v>17.32</v>
      </c>
      <c r="AW33" s="2">
        <v>4.13</v>
      </c>
      <c r="AX33" s="2">
        <v>1.46</v>
      </c>
      <c r="AY33" s="2">
        <v>4.7699999999999996</v>
      </c>
      <c r="AZ33" s="2">
        <v>0.63</v>
      </c>
      <c r="BA33" s="2">
        <v>4.8</v>
      </c>
      <c r="BB33" s="2">
        <v>1.07</v>
      </c>
      <c r="BC33" s="2">
        <v>3.07</v>
      </c>
      <c r="BD33" s="2">
        <v>0.43</v>
      </c>
      <c r="BE33" s="2">
        <v>2.5499999999999998</v>
      </c>
      <c r="BF33" s="2">
        <v>0.45</v>
      </c>
      <c r="BG33" s="5" t="s">
        <v>27</v>
      </c>
    </row>
    <row r="34" spans="1:59" ht="15.75" x14ac:dyDescent="0.15">
      <c r="A34" s="2" t="s">
        <v>35</v>
      </c>
      <c r="B34" s="1" t="s">
        <v>174</v>
      </c>
      <c r="C34" s="1">
        <v>1320</v>
      </c>
      <c r="D34" s="2">
        <v>49.56</v>
      </c>
      <c r="E34" s="2">
        <v>2.04</v>
      </c>
      <c r="F34" s="2">
        <v>13.12</v>
      </c>
      <c r="G34" s="2">
        <v>14.85</v>
      </c>
      <c r="H34" s="2">
        <v>0.2</v>
      </c>
      <c r="I34" s="2">
        <v>5.83</v>
      </c>
      <c r="J34" s="2">
        <v>9.16</v>
      </c>
      <c r="K34" s="2">
        <v>2.27</v>
      </c>
      <c r="L34" s="2">
        <v>1.21</v>
      </c>
      <c r="M34" s="2">
        <v>0.18</v>
      </c>
      <c r="N34" s="2">
        <v>1.48</v>
      </c>
      <c r="O34" s="2">
        <v>99.9</v>
      </c>
      <c r="P34" s="2"/>
      <c r="Q34" s="2">
        <f t="shared" si="0"/>
        <v>3.48</v>
      </c>
      <c r="R34" s="2">
        <v>0.6</v>
      </c>
      <c r="S34" s="2">
        <v>43.76</v>
      </c>
      <c r="T34" s="2">
        <v>206.9</v>
      </c>
      <c r="U34" s="2">
        <v>39.200000000000003</v>
      </c>
      <c r="V34" s="2">
        <v>162.9</v>
      </c>
      <c r="W34" s="2">
        <v>28.58</v>
      </c>
      <c r="X34" s="2">
        <v>145.31</v>
      </c>
      <c r="Y34" s="2">
        <v>9.7899999999999991</v>
      </c>
      <c r="Z34" s="2">
        <v>2.68</v>
      </c>
      <c r="AA34" s="2">
        <v>4.88</v>
      </c>
      <c r="AB34" s="2">
        <v>20.309999999999999</v>
      </c>
      <c r="AC34" s="2">
        <v>85.92</v>
      </c>
      <c r="AD34" s="2">
        <v>64.400000000000006</v>
      </c>
      <c r="AE34" s="2">
        <v>65.69</v>
      </c>
      <c r="AF34" s="2">
        <v>430.74</v>
      </c>
      <c r="AG34" s="2">
        <v>101.97</v>
      </c>
      <c r="AH34" s="2">
        <v>4.2300000000000004</v>
      </c>
      <c r="AI34" s="2">
        <v>0.95</v>
      </c>
      <c r="AJ34" s="2">
        <v>41.95</v>
      </c>
      <c r="AK34" s="2">
        <v>0.79</v>
      </c>
      <c r="AL34" s="2">
        <v>45.17</v>
      </c>
      <c r="AM34" s="2">
        <v>14.84</v>
      </c>
      <c r="AN34" s="2">
        <v>1.01</v>
      </c>
      <c r="AO34" s="2">
        <v>0.67</v>
      </c>
      <c r="AP34" s="4">
        <v>10040.530000000001</v>
      </c>
      <c r="AQ34" s="4">
        <v>785.92</v>
      </c>
      <c r="AR34" s="4">
        <v>12229.79</v>
      </c>
      <c r="AS34" s="2">
        <v>15.95</v>
      </c>
      <c r="AT34" s="2">
        <v>36.090000000000003</v>
      </c>
      <c r="AU34" s="2">
        <v>4.63</v>
      </c>
      <c r="AV34" s="2">
        <v>21.07</v>
      </c>
      <c r="AW34" s="2">
        <v>5.52</v>
      </c>
      <c r="AX34" s="2">
        <v>1.63</v>
      </c>
      <c r="AY34" s="2">
        <v>5.7</v>
      </c>
      <c r="AZ34" s="2">
        <v>0.84</v>
      </c>
      <c r="BA34" s="2">
        <v>6.23</v>
      </c>
      <c r="BB34" s="2">
        <v>1.35</v>
      </c>
      <c r="BC34" s="2">
        <v>3.87</v>
      </c>
      <c r="BD34" s="2">
        <v>0.55000000000000004</v>
      </c>
      <c r="BE34" s="2">
        <v>3.33</v>
      </c>
      <c r="BF34" s="2">
        <v>0.57999999999999996</v>
      </c>
      <c r="BG34" s="5" t="s">
        <v>27</v>
      </c>
    </row>
    <row r="35" spans="1:59" ht="15.75" x14ac:dyDescent="0.15">
      <c r="A35" s="2" t="s">
        <v>36</v>
      </c>
      <c r="B35" s="1" t="s">
        <v>174</v>
      </c>
      <c r="C35" s="1">
        <v>1320</v>
      </c>
      <c r="D35" s="2">
        <v>48.04</v>
      </c>
      <c r="E35" s="2">
        <v>1.51</v>
      </c>
      <c r="F35" s="2">
        <v>14.62</v>
      </c>
      <c r="G35" s="2">
        <v>13.08</v>
      </c>
      <c r="H35" s="2">
        <v>0.18</v>
      </c>
      <c r="I35" s="2">
        <v>7.48</v>
      </c>
      <c r="J35" s="2">
        <v>8.3800000000000008</v>
      </c>
      <c r="K35" s="2">
        <v>2.31</v>
      </c>
      <c r="L35" s="2">
        <v>1.64</v>
      </c>
      <c r="M35" s="2">
        <v>0.12</v>
      </c>
      <c r="N35" s="2">
        <v>2.44</v>
      </c>
      <c r="O35" s="2">
        <v>99.8</v>
      </c>
      <c r="P35" s="2"/>
      <c r="Q35" s="2">
        <f t="shared" si="0"/>
        <v>3.95</v>
      </c>
      <c r="R35" s="2">
        <v>0.7</v>
      </c>
      <c r="S35" s="2">
        <v>53.12</v>
      </c>
      <c r="T35" s="2">
        <v>575</v>
      </c>
      <c r="U35" s="2">
        <v>37.58</v>
      </c>
      <c r="V35" s="2">
        <v>344.3</v>
      </c>
      <c r="W35" s="2">
        <v>17.89</v>
      </c>
      <c r="X35" s="2">
        <v>80.069999999999993</v>
      </c>
      <c r="Y35" s="2">
        <v>5.6</v>
      </c>
      <c r="Z35" s="2">
        <v>1.52</v>
      </c>
      <c r="AA35" s="2">
        <v>3.02</v>
      </c>
      <c r="AB35" s="2">
        <v>17.48</v>
      </c>
      <c r="AC35" s="2">
        <v>94.44</v>
      </c>
      <c r="AD35" s="2">
        <v>45.7</v>
      </c>
      <c r="AE35" s="2">
        <v>113.5</v>
      </c>
      <c r="AF35" s="2">
        <v>298.91000000000003</v>
      </c>
      <c r="AG35" s="2">
        <v>139.69999999999999</v>
      </c>
      <c r="AH35" s="2">
        <v>2.4</v>
      </c>
      <c r="AI35" s="2">
        <v>1.49</v>
      </c>
      <c r="AJ35" s="2">
        <v>28.58</v>
      </c>
      <c r="AK35" s="2">
        <v>0.47</v>
      </c>
      <c r="AL35" s="2">
        <v>46.82</v>
      </c>
      <c r="AM35" s="2">
        <v>35.590000000000003</v>
      </c>
      <c r="AN35" s="2">
        <v>0.55000000000000004</v>
      </c>
      <c r="AO35" s="2">
        <v>0.37</v>
      </c>
      <c r="AP35" s="4">
        <v>13608.66</v>
      </c>
      <c r="AQ35" s="4">
        <v>523.94000000000005</v>
      </c>
      <c r="AR35" s="4">
        <v>9052.44</v>
      </c>
      <c r="AS35" s="2">
        <v>9.3800000000000008</v>
      </c>
      <c r="AT35" s="2">
        <v>20.89</v>
      </c>
      <c r="AU35" s="2">
        <v>2.72</v>
      </c>
      <c r="AV35" s="2">
        <v>12.41</v>
      </c>
      <c r="AW35" s="2">
        <v>3.04</v>
      </c>
      <c r="AX35" s="2">
        <v>1.1200000000000001</v>
      </c>
      <c r="AY35" s="2">
        <v>3.38</v>
      </c>
      <c r="AZ35" s="2">
        <v>0.5</v>
      </c>
      <c r="BA35" s="2">
        <v>3.78</v>
      </c>
      <c r="BB35" s="2">
        <v>0.77</v>
      </c>
      <c r="BC35" s="2">
        <v>2.31</v>
      </c>
      <c r="BD35" s="2">
        <v>0.34</v>
      </c>
      <c r="BE35" s="2">
        <v>1.92</v>
      </c>
      <c r="BF35" s="2">
        <v>0.34</v>
      </c>
      <c r="BG35" s="5" t="s">
        <v>27</v>
      </c>
    </row>
    <row r="36" spans="1:59" ht="15.75" x14ac:dyDescent="0.15">
      <c r="A36" s="2" t="s">
        <v>37</v>
      </c>
      <c r="B36" s="1" t="s">
        <v>174</v>
      </c>
      <c r="C36" s="1">
        <v>1320</v>
      </c>
      <c r="D36" s="2">
        <v>50.13</v>
      </c>
      <c r="E36" s="2">
        <v>1.8</v>
      </c>
      <c r="F36" s="2">
        <v>13.4</v>
      </c>
      <c r="G36" s="2">
        <v>13.73</v>
      </c>
      <c r="H36" s="2">
        <v>0.19</v>
      </c>
      <c r="I36" s="2">
        <v>6.11</v>
      </c>
      <c r="J36" s="2">
        <v>10.86</v>
      </c>
      <c r="K36" s="2">
        <v>2.14</v>
      </c>
      <c r="L36" s="2">
        <v>0.84</v>
      </c>
      <c r="M36" s="2">
        <v>0.16</v>
      </c>
      <c r="N36" s="2">
        <v>0.64</v>
      </c>
      <c r="O36" s="2">
        <v>100</v>
      </c>
      <c r="P36" s="2"/>
      <c r="Q36" s="2">
        <f t="shared" si="0"/>
        <v>2.98</v>
      </c>
      <c r="R36" s="2">
        <v>0.55000000000000004</v>
      </c>
      <c r="S36" s="2">
        <v>46.87</v>
      </c>
      <c r="T36" s="2">
        <v>152.6</v>
      </c>
      <c r="U36" s="2">
        <v>23.53</v>
      </c>
      <c r="V36" s="2">
        <v>170.6</v>
      </c>
      <c r="W36" s="2">
        <v>25.73</v>
      </c>
      <c r="X36" s="2">
        <v>115.47</v>
      </c>
      <c r="Y36" s="2">
        <v>7.69</v>
      </c>
      <c r="Z36" s="2">
        <v>2.13</v>
      </c>
      <c r="AA36" s="2">
        <v>3.3</v>
      </c>
      <c r="AB36" s="2">
        <v>18.89</v>
      </c>
      <c r="AC36" s="2">
        <v>73.209999999999994</v>
      </c>
      <c r="AD36" s="2">
        <v>51.07</v>
      </c>
      <c r="AE36" s="2">
        <v>64.39</v>
      </c>
      <c r="AF36" s="2">
        <v>429.66</v>
      </c>
      <c r="AG36" s="2">
        <v>169</v>
      </c>
      <c r="AH36" s="2">
        <v>3.25</v>
      </c>
      <c r="AI36" s="2">
        <v>0.76</v>
      </c>
      <c r="AJ36" s="2">
        <v>44.73</v>
      </c>
      <c r="AK36" s="2">
        <v>0.59</v>
      </c>
      <c r="AL36" s="2">
        <v>41.53</v>
      </c>
      <c r="AM36" s="2">
        <v>10.08</v>
      </c>
      <c r="AN36" s="2">
        <v>0.6</v>
      </c>
      <c r="AO36" s="2">
        <v>0.48</v>
      </c>
      <c r="AP36" s="4">
        <v>6970.29</v>
      </c>
      <c r="AQ36" s="4">
        <v>698.59</v>
      </c>
      <c r="AR36" s="4">
        <v>10790.99</v>
      </c>
      <c r="AS36" s="2">
        <v>12.76</v>
      </c>
      <c r="AT36" s="2">
        <v>28.94</v>
      </c>
      <c r="AU36" s="2">
        <v>3.7</v>
      </c>
      <c r="AV36" s="2">
        <v>17.61</v>
      </c>
      <c r="AW36" s="2">
        <v>4.28</v>
      </c>
      <c r="AX36" s="2">
        <v>1.49</v>
      </c>
      <c r="AY36" s="2">
        <v>4.75</v>
      </c>
      <c r="AZ36" s="2">
        <v>0.71</v>
      </c>
      <c r="BA36" s="2">
        <v>5.25</v>
      </c>
      <c r="BB36" s="2">
        <v>1.1100000000000001</v>
      </c>
      <c r="BC36" s="2">
        <v>3.25</v>
      </c>
      <c r="BD36" s="2">
        <v>0.44</v>
      </c>
      <c r="BE36" s="2">
        <v>2.64</v>
      </c>
      <c r="BF36" s="2">
        <v>0.42</v>
      </c>
      <c r="BG36" s="5" t="s">
        <v>27</v>
      </c>
    </row>
    <row r="37" spans="1:59" ht="15.75" x14ac:dyDescent="0.15">
      <c r="A37" s="2" t="s">
        <v>38</v>
      </c>
      <c r="B37" s="1" t="s">
        <v>174</v>
      </c>
      <c r="C37" s="1">
        <v>1320</v>
      </c>
      <c r="D37" s="2">
        <v>49.9</v>
      </c>
      <c r="E37" s="2">
        <v>2.21</v>
      </c>
      <c r="F37" s="2">
        <v>12.98</v>
      </c>
      <c r="G37" s="2">
        <v>14.35</v>
      </c>
      <c r="H37" s="2">
        <v>0.19</v>
      </c>
      <c r="I37" s="2">
        <v>5.42</v>
      </c>
      <c r="J37" s="2">
        <v>10.49</v>
      </c>
      <c r="K37" s="2">
        <v>2.09</v>
      </c>
      <c r="L37" s="2">
        <v>0.84</v>
      </c>
      <c r="M37" s="2">
        <v>0.19</v>
      </c>
      <c r="N37" s="2">
        <v>1.28</v>
      </c>
      <c r="O37" s="2">
        <v>99.94</v>
      </c>
      <c r="P37" s="2"/>
      <c r="Q37" s="2">
        <f t="shared" si="0"/>
        <v>2.9299999999999997</v>
      </c>
      <c r="R37" s="2">
        <v>0.55000000000000004</v>
      </c>
      <c r="S37" s="2">
        <v>42.81</v>
      </c>
      <c r="T37" s="2">
        <v>144.30000000000001</v>
      </c>
      <c r="U37" s="2">
        <v>25.24</v>
      </c>
      <c r="V37" s="2">
        <v>212.7</v>
      </c>
      <c r="W37" s="2">
        <v>30.33</v>
      </c>
      <c r="X37" s="2">
        <v>147</v>
      </c>
      <c r="Y37" s="2">
        <v>10.01</v>
      </c>
      <c r="Z37" s="2">
        <v>2.8410000000000002</v>
      </c>
      <c r="AA37" s="2">
        <v>4.2779999999999996</v>
      </c>
      <c r="AB37" s="2">
        <v>21.55</v>
      </c>
      <c r="AC37" s="2">
        <v>117.5</v>
      </c>
      <c r="AD37" s="2">
        <v>111.7</v>
      </c>
      <c r="AE37" s="2">
        <v>65.040000000000006</v>
      </c>
      <c r="AF37" s="2">
        <v>424</v>
      </c>
      <c r="AG37" s="2">
        <v>207</v>
      </c>
      <c r="AH37" s="2">
        <v>3.8650000000000002</v>
      </c>
      <c r="AI37" s="2">
        <v>0.84499999999999997</v>
      </c>
      <c r="AJ37" s="2">
        <v>43.46</v>
      </c>
      <c r="AK37" s="2">
        <v>0.72499999999999998</v>
      </c>
      <c r="AL37" s="2">
        <v>47.23</v>
      </c>
      <c r="AM37" s="2"/>
      <c r="AN37" s="2"/>
      <c r="AO37" s="2">
        <v>0.61499999999999999</v>
      </c>
      <c r="AP37" s="4">
        <v>6970.29</v>
      </c>
      <c r="AQ37" s="4">
        <v>829.58</v>
      </c>
      <c r="AR37" s="4">
        <v>13248.94</v>
      </c>
      <c r="AS37" s="2">
        <v>15.58</v>
      </c>
      <c r="AT37" s="2">
        <v>36.409999999999997</v>
      </c>
      <c r="AU37" s="2">
        <v>5.0460000000000003</v>
      </c>
      <c r="AV37" s="2">
        <v>22.45</v>
      </c>
      <c r="AW37" s="2">
        <v>5.4080000000000004</v>
      </c>
      <c r="AX37" s="2">
        <v>1.6759999999999999</v>
      </c>
      <c r="AY37" s="2">
        <v>5.6079999999999997</v>
      </c>
      <c r="AZ37" s="2">
        <v>0.94799999999999995</v>
      </c>
      <c r="BA37" s="2">
        <v>6.0439999999999996</v>
      </c>
      <c r="BB37" s="2">
        <v>1.2470000000000001</v>
      </c>
      <c r="BC37" s="2">
        <v>3.319</v>
      </c>
      <c r="BD37" s="2">
        <v>0.47399999999999998</v>
      </c>
      <c r="BE37" s="2">
        <v>2.9649999999999999</v>
      </c>
      <c r="BF37" s="2">
        <v>0.46600000000000003</v>
      </c>
      <c r="BG37" s="5" t="s">
        <v>39</v>
      </c>
    </row>
    <row r="38" spans="1:59" ht="15.75" x14ac:dyDescent="0.15">
      <c r="A38" s="2" t="s">
        <v>40</v>
      </c>
      <c r="B38" s="1" t="s">
        <v>174</v>
      </c>
      <c r="C38" s="1">
        <v>1320</v>
      </c>
      <c r="D38" s="2">
        <v>48.38</v>
      </c>
      <c r="E38" s="2">
        <v>2.1800000000000002</v>
      </c>
      <c r="F38" s="2">
        <v>13.56</v>
      </c>
      <c r="G38" s="2">
        <v>15.8</v>
      </c>
      <c r="H38" s="2">
        <v>0.22</v>
      </c>
      <c r="I38" s="2">
        <v>6.33</v>
      </c>
      <c r="J38" s="2">
        <v>9.15</v>
      </c>
      <c r="K38" s="2">
        <v>1.67</v>
      </c>
      <c r="L38" s="2">
        <v>1.27</v>
      </c>
      <c r="M38" s="2">
        <v>0.18</v>
      </c>
      <c r="N38" s="2">
        <v>1.2</v>
      </c>
      <c r="O38" s="2">
        <v>99.94</v>
      </c>
      <c r="P38" s="2"/>
      <c r="Q38" s="2">
        <f t="shared" si="0"/>
        <v>2.94</v>
      </c>
      <c r="R38" s="2">
        <v>0.65</v>
      </c>
      <c r="S38" s="2">
        <v>44.25</v>
      </c>
      <c r="T38" s="2">
        <v>423.7</v>
      </c>
      <c r="U38" s="2">
        <v>56.42</v>
      </c>
      <c r="V38" s="2">
        <v>209.4</v>
      </c>
      <c r="W38" s="2">
        <v>28.51</v>
      </c>
      <c r="X38" s="2">
        <v>144.69999999999999</v>
      </c>
      <c r="Y38" s="2">
        <v>10.06</v>
      </c>
      <c r="Z38" s="2">
        <v>2.6360000000000001</v>
      </c>
      <c r="AA38" s="2">
        <v>6.8090000000000002</v>
      </c>
      <c r="AB38" s="2">
        <v>20.93</v>
      </c>
      <c r="AC38" s="2">
        <v>120.6</v>
      </c>
      <c r="AD38" s="2">
        <v>127.1</v>
      </c>
      <c r="AE38" s="2">
        <v>118.7</v>
      </c>
      <c r="AF38" s="2">
        <v>350</v>
      </c>
      <c r="AG38" s="2">
        <v>163.1</v>
      </c>
      <c r="AH38" s="2">
        <v>3.8260000000000001</v>
      </c>
      <c r="AI38" s="2">
        <v>3.504</v>
      </c>
      <c r="AJ38" s="2">
        <v>34.67</v>
      </c>
      <c r="AK38" s="2">
        <v>0.72699999999999998</v>
      </c>
      <c r="AL38" s="2">
        <v>54.37</v>
      </c>
      <c r="AM38" s="2"/>
      <c r="AN38" s="2"/>
      <c r="AO38" s="2">
        <v>0.55200000000000005</v>
      </c>
      <c r="AP38" s="4">
        <v>10538.41</v>
      </c>
      <c r="AQ38" s="4">
        <v>785.92</v>
      </c>
      <c r="AR38" s="4">
        <v>13069.09</v>
      </c>
      <c r="AS38" s="2">
        <v>15.09</v>
      </c>
      <c r="AT38" s="2">
        <v>35.31</v>
      </c>
      <c r="AU38" s="2">
        <v>4.8940000000000001</v>
      </c>
      <c r="AV38" s="2">
        <v>21.9</v>
      </c>
      <c r="AW38" s="2">
        <v>5.2670000000000003</v>
      </c>
      <c r="AX38" s="2">
        <v>1.627</v>
      </c>
      <c r="AY38" s="2">
        <v>5.3689999999999998</v>
      </c>
      <c r="AZ38" s="2">
        <v>0.89800000000000002</v>
      </c>
      <c r="BA38" s="2">
        <v>5.76</v>
      </c>
      <c r="BB38" s="2">
        <v>1.21</v>
      </c>
      <c r="BC38" s="2">
        <v>3.1680000000000001</v>
      </c>
      <c r="BD38" s="2">
        <v>0.45300000000000001</v>
      </c>
      <c r="BE38" s="2">
        <v>2.8290000000000002</v>
      </c>
      <c r="BF38" s="2">
        <v>0.442</v>
      </c>
      <c r="BG38" s="5" t="s">
        <v>39</v>
      </c>
    </row>
    <row r="39" spans="1:59" ht="15.75" x14ac:dyDescent="0.15">
      <c r="A39" s="2" t="s">
        <v>41</v>
      </c>
      <c r="B39" s="1" t="s">
        <v>174</v>
      </c>
      <c r="C39" s="1">
        <v>1320</v>
      </c>
      <c r="D39" s="2">
        <v>46.02</v>
      </c>
      <c r="E39" s="2">
        <v>1.73</v>
      </c>
      <c r="F39" s="2">
        <v>14.26</v>
      </c>
      <c r="G39" s="2">
        <v>16.53</v>
      </c>
      <c r="H39" s="2">
        <v>0.2</v>
      </c>
      <c r="I39" s="2">
        <v>8.9</v>
      </c>
      <c r="J39" s="2">
        <v>8.8699999999999992</v>
      </c>
      <c r="K39" s="2">
        <v>2.04</v>
      </c>
      <c r="L39" s="2">
        <v>0.54</v>
      </c>
      <c r="M39" s="2">
        <v>0.14000000000000001</v>
      </c>
      <c r="N39" s="2">
        <v>0.22</v>
      </c>
      <c r="O39" s="2">
        <v>99.45</v>
      </c>
      <c r="P39" s="2"/>
      <c r="Q39" s="2">
        <f t="shared" si="0"/>
        <v>2.58</v>
      </c>
      <c r="R39" s="2">
        <v>0.71</v>
      </c>
      <c r="S39" s="2">
        <v>51.62</v>
      </c>
      <c r="T39" s="2">
        <v>101</v>
      </c>
      <c r="U39" s="2">
        <v>17.3</v>
      </c>
      <c r="V39" s="2">
        <v>196</v>
      </c>
      <c r="W39" s="2">
        <v>21.5</v>
      </c>
      <c r="X39" s="2">
        <v>96.9</v>
      </c>
      <c r="Y39" s="2">
        <v>8.68</v>
      </c>
      <c r="Z39" s="2">
        <v>1.88</v>
      </c>
      <c r="AA39" s="2">
        <v>2.92</v>
      </c>
      <c r="AB39" s="2">
        <v>17.8</v>
      </c>
      <c r="AC39" s="2">
        <v>113</v>
      </c>
      <c r="AD39" s="2">
        <v>121</v>
      </c>
      <c r="AE39" s="2">
        <v>207</v>
      </c>
      <c r="AF39" s="2">
        <v>250</v>
      </c>
      <c r="AG39" s="2">
        <v>111</v>
      </c>
      <c r="AH39" s="2">
        <v>2.68</v>
      </c>
      <c r="AI39" s="2">
        <v>1.21</v>
      </c>
      <c r="AJ39" s="2">
        <v>28.3</v>
      </c>
      <c r="AK39" s="2">
        <v>0.56000000000000005</v>
      </c>
      <c r="AL39" s="2">
        <v>72.5</v>
      </c>
      <c r="AM39" s="2">
        <v>10.8</v>
      </c>
      <c r="AN39" s="2">
        <v>0.69</v>
      </c>
      <c r="AO39" s="2">
        <v>0.36</v>
      </c>
      <c r="AP39" s="4">
        <v>4480.8999999999996</v>
      </c>
      <c r="AQ39" s="4">
        <v>611.27</v>
      </c>
      <c r="AR39" s="4">
        <v>10371.34</v>
      </c>
      <c r="AS39" s="2">
        <v>10.4</v>
      </c>
      <c r="AT39" s="2">
        <v>24</v>
      </c>
      <c r="AU39" s="2">
        <v>3.28</v>
      </c>
      <c r="AV39" s="2">
        <v>14.2</v>
      </c>
      <c r="AW39" s="2">
        <v>3.8</v>
      </c>
      <c r="AX39" s="2">
        <v>1.25</v>
      </c>
      <c r="AY39" s="2">
        <v>3.87</v>
      </c>
      <c r="AZ39" s="2">
        <v>0.67</v>
      </c>
      <c r="BA39" s="2">
        <v>3.93</v>
      </c>
      <c r="BB39" s="2">
        <v>0.8</v>
      </c>
      <c r="BC39" s="2">
        <v>2.1800000000000002</v>
      </c>
      <c r="BD39" s="2">
        <v>0.35</v>
      </c>
      <c r="BE39" s="2">
        <v>2.0299999999999998</v>
      </c>
      <c r="BF39" s="2">
        <v>0.3</v>
      </c>
      <c r="BG39" s="5" t="s">
        <v>39</v>
      </c>
    </row>
    <row r="40" spans="1:59" ht="15.75" x14ac:dyDescent="0.15">
      <c r="A40" s="2" t="s">
        <v>42</v>
      </c>
      <c r="B40" s="1" t="s">
        <v>174</v>
      </c>
      <c r="C40" s="1">
        <v>1320</v>
      </c>
      <c r="D40" s="2">
        <v>47.69</v>
      </c>
      <c r="E40" s="2">
        <v>2.23</v>
      </c>
      <c r="F40" s="2">
        <v>15</v>
      </c>
      <c r="G40" s="2">
        <v>13.73</v>
      </c>
      <c r="H40" s="2">
        <v>0.13</v>
      </c>
      <c r="I40" s="2">
        <v>6.05</v>
      </c>
      <c r="J40" s="2">
        <v>7.52</v>
      </c>
      <c r="K40" s="2">
        <v>2.15</v>
      </c>
      <c r="L40" s="2">
        <v>2.2599999999999998</v>
      </c>
      <c r="M40" s="2">
        <v>0.16</v>
      </c>
      <c r="N40" s="2">
        <v>2.95</v>
      </c>
      <c r="O40" s="2">
        <v>99.87</v>
      </c>
      <c r="P40" s="2"/>
      <c r="Q40" s="2">
        <f t="shared" si="0"/>
        <v>4.41</v>
      </c>
      <c r="R40" s="2">
        <v>0.76</v>
      </c>
      <c r="S40" s="2">
        <v>46.62</v>
      </c>
      <c r="T40" s="2">
        <v>270.89999999999998</v>
      </c>
      <c r="U40" s="2">
        <v>49.93</v>
      </c>
      <c r="V40" s="2">
        <v>267.7</v>
      </c>
      <c r="W40" s="2">
        <v>21.18</v>
      </c>
      <c r="X40" s="2">
        <v>109.6</v>
      </c>
      <c r="Y40" s="2">
        <v>8.3170000000000002</v>
      </c>
      <c r="Z40" s="2">
        <v>2.7570000000000001</v>
      </c>
      <c r="AA40" s="2">
        <v>8.0259999999999998</v>
      </c>
      <c r="AB40" s="2">
        <v>21.29</v>
      </c>
      <c r="AC40" s="2">
        <v>88.77</v>
      </c>
      <c r="AD40" s="2">
        <v>43.76</v>
      </c>
      <c r="AE40" s="2">
        <v>48.74</v>
      </c>
      <c r="AF40" s="2">
        <v>386</v>
      </c>
      <c r="AG40" s="2">
        <v>176.5</v>
      </c>
      <c r="AH40" s="2">
        <v>2.9590000000000001</v>
      </c>
      <c r="AI40" s="2">
        <v>2.2709999999999999</v>
      </c>
      <c r="AJ40" s="2">
        <v>35.090000000000003</v>
      </c>
      <c r="AK40" s="2">
        <v>0.59899999999999998</v>
      </c>
      <c r="AL40" s="2">
        <v>42.06</v>
      </c>
      <c r="AM40" s="2"/>
      <c r="AN40" s="2"/>
      <c r="AO40" s="2">
        <v>0.64400000000000002</v>
      </c>
      <c r="AP40" s="4">
        <v>18753.400000000001</v>
      </c>
      <c r="AQ40" s="4">
        <v>698.59</v>
      </c>
      <c r="AR40" s="4">
        <v>13368.84</v>
      </c>
      <c r="AS40" s="2">
        <v>12.88</v>
      </c>
      <c r="AT40" s="2">
        <v>29.49</v>
      </c>
      <c r="AU40" s="2">
        <v>4.08</v>
      </c>
      <c r="AV40" s="2">
        <v>17.5</v>
      </c>
      <c r="AW40" s="2">
        <v>4.1390000000000002</v>
      </c>
      <c r="AX40" s="2">
        <v>1.415</v>
      </c>
      <c r="AY40" s="2">
        <v>4.1260000000000003</v>
      </c>
      <c r="AZ40" s="2">
        <v>0.68300000000000005</v>
      </c>
      <c r="BA40" s="2">
        <v>4.306</v>
      </c>
      <c r="BB40" s="2">
        <v>0.88500000000000001</v>
      </c>
      <c r="BC40" s="2">
        <v>2.3220000000000001</v>
      </c>
      <c r="BD40" s="2">
        <v>0.32900000000000001</v>
      </c>
      <c r="BE40" s="2">
        <v>2.0739999999999998</v>
      </c>
      <c r="BF40" s="2">
        <v>0.317</v>
      </c>
      <c r="BG40" s="5" t="s">
        <v>39</v>
      </c>
    </row>
    <row r="41" spans="1:59" ht="15.75" x14ac:dyDescent="0.15">
      <c r="A41" s="2" t="s">
        <v>43</v>
      </c>
      <c r="B41" s="1" t="s">
        <v>174</v>
      </c>
      <c r="C41" s="1">
        <v>1320</v>
      </c>
      <c r="D41" s="2">
        <v>57.02</v>
      </c>
      <c r="E41" s="2">
        <v>1.8</v>
      </c>
      <c r="F41" s="2">
        <v>11.04</v>
      </c>
      <c r="G41" s="2">
        <v>16.149999999999999</v>
      </c>
      <c r="H41" s="2">
        <v>0.2</v>
      </c>
      <c r="I41" s="2">
        <v>1.07</v>
      </c>
      <c r="J41" s="2">
        <v>5.72</v>
      </c>
      <c r="K41" s="2">
        <v>5.28</v>
      </c>
      <c r="L41" s="2">
        <v>0.18</v>
      </c>
      <c r="M41" s="2">
        <v>0.63</v>
      </c>
      <c r="N41" s="2">
        <v>0.85</v>
      </c>
      <c r="O41" s="2">
        <v>99.94</v>
      </c>
      <c r="P41" s="2"/>
      <c r="Q41" s="2">
        <f t="shared" si="0"/>
        <v>5.46</v>
      </c>
      <c r="R41" s="2">
        <v>0.56999999999999995</v>
      </c>
      <c r="S41" s="2">
        <v>11.61</v>
      </c>
      <c r="T41" s="2">
        <v>127.8</v>
      </c>
      <c r="U41" s="2">
        <v>4.2279999999999998</v>
      </c>
      <c r="V41" s="2">
        <v>37.68</v>
      </c>
      <c r="W41" s="2">
        <v>83.66</v>
      </c>
      <c r="X41" s="2">
        <v>456.7</v>
      </c>
      <c r="Y41" s="2">
        <v>26.99</v>
      </c>
      <c r="Z41" s="2">
        <v>9.2929999999999993</v>
      </c>
      <c r="AA41" s="2">
        <v>12.32</v>
      </c>
      <c r="AB41" s="2">
        <v>23.33</v>
      </c>
      <c r="AC41" s="2">
        <v>110.9</v>
      </c>
      <c r="AD41" s="2">
        <v>55.86</v>
      </c>
      <c r="AE41" s="2">
        <v>2.9590000000000001</v>
      </c>
      <c r="AF41" s="2">
        <v>21.3</v>
      </c>
      <c r="AG41" s="2">
        <v>1.982</v>
      </c>
      <c r="AH41" s="2">
        <v>12.08</v>
      </c>
      <c r="AI41" s="2">
        <v>0.11</v>
      </c>
      <c r="AJ41" s="2">
        <v>25.91</v>
      </c>
      <c r="AK41" s="2">
        <v>1.754</v>
      </c>
      <c r="AL41" s="2">
        <v>24.22</v>
      </c>
      <c r="AM41" s="2"/>
      <c r="AN41" s="2"/>
      <c r="AO41" s="2">
        <v>1.2869999999999999</v>
      </c>
      <c r="AP41" s="4">
        <v>1493.63</v>
      </c>
      <c r="AQ41" s="4">
        <v>2750.7</v>
      </c>
      <c r="AR41" s="4">
        <v>10790.99</v>
      </c>
      <c r="AS41" s="2">
        <v>47.58</v>
      </c>
      <c r="AT41" s="2">
        <v>114.3</v>
      </c>
      <c r="AU41" s="2">
        <v>15.14</v>
      </c>
      <c r="AV41" s="2">
        <v>66.09</v>
      </c>
      <c r="AW41" s="2">
        <v>15.52</v>
      </c>
      <c r="AX41" s="2">
        <v>3.968</v>
      </c>
      <c r="AY41" s="2">
        <v>15.44</v>
      </c>
      <c r="AZ41" s="2">
        <v>2.609</v>
      </c>
      <c r="BA41" s="2">
        <v>16.53</v>
      </c>
      <c r="BB41" s="2">
        <v>3.38</v>
      </c>
      <c r="BC41" s="2">
        <v>8.9849999999999994</v>
      </c>
      <c r="BD41" s="2">
        <v>1.27</v>
      </c>
      <c r="BE41" s="2">
        <v>8.0749999999999993</v>
      </c>
      <c r="BF41" s="2">
        <v>1.2849999999999999</v>
      </c>
      <c r="BG41" s="5" t="s">
        <v>39</v>
      </c>
    </row>
    <row r="42" spans="1:59" ht="15.75" x14ac:dyDescent="0.15">
      <c r="A42" s="2" t="s">
        <v>44</v>
      </c>
      <c r="B42" s="1" t="s">
        <v>174</v>
      </c>
      <c r="C42" s="1">
        <v>1320</v>
      </c>
      <c r="D42" s="2">
        <v>49.2</v>
      </c>
      <c r="E42" s="2">
        <v>2</v>
      </c>
      <c r="F42" s="2">
        <v>12.28</v>
      </c>
      <c r="G42" s="2">
        <v>14.13</v>
      </c>
      <c r="H42" s="2">
        <v>0.19</v>
      </c>
      <c r="I42" s="2">
        <v>6.04</v>
      </c>
      <c r="J42" s="2">
        <v>9.67</v>
      </c>
      <c r="K42" s="2">
        <v>2.8</v>
      </c>
      <c r="L42" s="2">
        <v>1.28</v>
      </c>
      <c r="M42" s="2">
        <v>0.14000000000000001</v>
      </c>
      <c r="N42" s="2">
        <v>2.16</v>
      </c>
      <c r="O42" s="2">
        <v>99.89</v>
      </c>
      <c r="P42" s="2"/>
      <c r="Q42" s="2">
        <f t="shared" si="0"/>
        <v>4.08</v>
      </c>
      <c r="R42" s="2">
        <v>0.52</v>
      </c>
      <c r="S42" s="2">
        <v>45.87</v>
      </c>
      <c r="T42" s="2">
        <v>209.1</v>
      </c>
      <c r="U42" s="2">
        <v>45.36</v>
      </c>
      <c r="V42" s="2">
        <v>121.7</v>
      </c>
      <c r="W42" s="2">
        <v>27.03</v>
      </c>
      <c r="X42" s="2">
        <v>118.2</v>
      </c>
      <c r="Y42" s="2">
        <v>8.0039999999999996</v>
      </c>
      <c r="Z42" s="2">
        <v>2.21</v>
      </c>
      <c r="AA42" s="2">
        <v>3.9780000000000002</v>
      </c>
      <c r="AB42" s="2">
        <v>20.25</v>
      </c>
      <c r="AC42" s="2">
        <v>115.6</v>
      </c>
      <c r="AD42" s="2">
        <v>87.44</v>
      </c>
      <c r="AE42" s="2">
        <v>59.17</v>
      </c>
      <c r="AF42" s="2">
        <v>437.7</v>
      </c>
      <c r="AG42" s="2">
        <v>278</v>
      </c>
      <c r="AH42" s="2">
        <v>3.2290000000000001</v>
      </c>
      <c r="AI42" s="2">
        <v>0.29299999999999998</v>
      </c>
      <c r="AJ42" s="2">
        <v>49.28</v>
      </c>
      <c r="AK42" s="2">
        <v>0.57999999999999996</v>
      </c>
      <c r="AL42" s="2">
        <v>45.48</v>
      </c>
      <c r="AM42" s="2"/>
      <c r="AN42" s="2"/>
      <c r="AO42" s="2">
        <v>0.46700000000000003</v>
      </c>
      <c r="AP42" s="4">
        <v>10621.39</v>
      </c>
      <c r="AQ42" s="4">
        <v>611.27</v>
      </c>
      <c r="AR42" s="4">
        <v>11989.99</v>
      </c>
      <c r="AS42" s="2">
        <v>12.98</v>
      </c>
      <c r="AT42" s="2">
        <v>29.14</v>
      </c>
      <c r="AU42" s="2">
        <v>4.1619999999999999</v>
      </c>
      <c r="AV42" s="2">
        <v>18.59</v>
      </c>
      <c r="AW42" s="2">
        <v>4.6550000000000002</v>
      </c>
      <c r="AX42" s="2">
        <v>1.5429999999999999</v>
      </c>
      <c r="AY42" s="2">
        <v>4.8490000000000002</v>
      </c>
      <c r="AZ42" s="2">
        <v>0.82899999999999996</v>
      </c>
      <c r="BA42" s="2">
        <v>5.2889999999999997</v>
      </c>
      <c r="BB42" s="2">
        <v>1.1140000000000001</v>
      </c>
      <c r="BC42" s="2">
        <v>2.948</v>
      </c>
      <c r="BD42" s="2">
        <v>0.41699999999999998</v>
      </c>
      <c r="BE42" s="2">
        <v>2.645</v>
      </c>
      <c r="BF42" s="2">
        <v>0.41199999999999998</v>
      </c>
      <c r="BG42" s="5" t="s">
        <v>39</v>
      </c>
    </row>
    <row r="43" spans="1:59" ht="15.75" x14ac:dyDescent="0.15">
      <c r="A43" s="2" t="s">
        <v>45</v>
      </c>
      <c r="B43" s="1" t="s">
        <v>174</v>
      </c>
      <c r="C43" s="1">
        <v>1320</v>
      </c>
      <c r="D43" s="2">
        <v>48.67</v>
      </c>
      <c r="E43" s="2">
        <v>1.98</v>
      </c>
      <c r="F43" s="2">
        <v>14.2</v>
      </c>
      <c r="G43" s="2">
        <v>14</v>
      </c>
      <c r="H43" s="2">
        <v>0.18</v>
      </c>
      <c r="I43" s="2">
        <v>5.71</v>
      </c>
      <c r="J43" s="2">
        <v>8.4499999999999993</v>
      </c>
      <c r="K43" s="2">
        <v>2.46</v>
      </c>
      <c r="L43" s="2">
        <v>1.38</v>
      </c>
      <c r="M43" s="2">
        <v>0.16</v>
      </c>
      <c r="N43" s="2">
        <v>2.68</v>
      </c>
      <c r="O43" s="2">
        <v>99.87</v>
      </c>
      <c r="P43" s="2"/>
      <c r="Q43" s="2">
        <f t="shared" si="0"/>
        <v>3.84</v>
      </c>
      <c r="R43" s="2">
        <v>0.68</v>
      </c>
      <c r="S43" s="2">
        <v>44.69</v>
      </c>
      <c r="T43" s="2">
        <v>237.2</v>
      </c>
      <c r="U43" s="2">
        <v>49.07</v>
      </c>
      <c r="V43" s="2">
        <v>238.9</v>
      </c>
      <c r="W43" s="2">
        <v>22.32</v>
      </c>
      <c r="X43" s="2">
        <v>111.6</v>
      </c>
      <c r="Y43" s="2">
        <v>8.0719999999999992</v>
      </c>
      <c r="Z43" s="2">
        <v>3.016</v>
      </c>
      <c r="AA43" s="2">
        <v>3.4750000000000001</v>
      </c>
      <c r="AB43" s="2">
        <v>20.92</v>
      </c>
      <c r="AC43" s="2">
        <v>103.9</v>
      </c>
      <c r="AD43" s="2">
        <v>42.89</v>
      </c>
      <c r="AE43" s="2">
        <v>75.75</v>
      </c>
      <c r="AF43" s="2">
        <v>319.7</v>
      </c>
      <c r="AG43" s="2">
        <v>68.489999999999995</v>
      </c>
      <c r="AH43" s="2">
        <v>3.0979999999999999</v>
      </c>
      <c r="AI43" s="2">
        <v>1.5409999999999999</v>
      </c>
      <c r="AJ43" s="2">
        <v>29.52</v>
      </c>
      <c r="AK43" s="2">
        <v>0.59799999999999998</v>
      </c>
      <c r="AL43" s="2">
        <v>47.85</v>
      </c>
      <c r="AM43" s="2"/>
      <c r="AN43" s="2"/>
      <c r="AO43" s="2">
        <v>0.66600000000000004</v>
      </c>
      <c r="AP43" s="4">
        <v>11451.19</v>
      </c>
      <c r="AQ43" s="4">
        <v>698.59</v>
      </c>
      <c r="AR43" s="4">
        <v>11870.09</v>
      </c>
      <c r="AS43" s="2">
        <v>13.77</v>
      </c>
      <c r="AT43" s="2">
        <v>30.44</v>
      </c>
      <c r="AU43" s="2">
        <v>4.2309999999999999</v>
      </c>
      <c r="AV43" s="2">
        <v>18.440000000000001</v>
      </c>
      <c r="AW43" s="2">
        <v>4.335</v>
      </c>
      <c r="AX43" s="2">
        <v>1.484</v>
      </c>
      <c r="AY43" s="2">
        <v>4.3499999999999996</v>
      </c>
      <c r="AZ43" s="2">
        <v>0.72499999999999998</v>
      </c>
      <c r="BA43" s="2">
        <v>4.4859999999999998</v>
      </c>
      <c r="BB43" s="2">
        <v>0.93899999999999995</v>
      </c>
      <c r="BC43" s="2">
        <v>2.4729999999999999</v>
      </c>
      <c r="BD43" s="2">
        <v>0.34499999999999997</v>
      </c>
      <c r="BE43" s="2">
        <v>2.1989999999999998</v>
      </c>
      <c r="BF43" s="2">
        <v>0.34499999999999997</v>
      </c>
      <c r="BG43" s="5" t="s">
        <v>39</v>
      </c>
    </row>
    <row r="44" spans="1:59" ht="15.75" x14ac:dyDescent="0.15">
      <c r="A44" s="2" t="s">
        <v>46</v>
      </c>
      <c r="B44" s="1" t="s">
        <v>174</v>
      </c>
      <c r="C44" s="1">
        <v>1320</v>
      </c>
      <c r="D44" s="2">
        <v>48.18</v>
      </c>
      <c r="E44" s="2">
        <v>2.4300000000000002</v>
      </c>
      <c r="F44" s="2">
        <v>12.81</v>
      </c>
      <c r="G44" s="2">
        <v>16.43</v>
      </c>
      <c r="H44" s="2">
        <v>0.23</v>
      </c>
      <c r="I44" s="2">
        <v>6.12</v>
      </c>
      <c r="J44" s="2">
        <v>8.6</v>
      </c>
      <c r="K44" s="2">
        <v>2.15</v>
      </c>
      <c r="L44" s="2">
        <v>0.61</v>
      </c>
      <c r="M44" s="2">
        <v>0.21</v>
      </c>
      <c r="N44" s="2">
        <v>2.11</v>
      </c>
      <c r="O44" s="2">
        <v>99.88</v>
      </c>
      <c r="P44" s="2"/>
      <c r="Q44" s="2">
        <f t="shared" si="0"/>
        <v>2.76</v>
      </c>
      <c r="R44" s="2">
        <v>0.65</v>
      </c>
      <c r="S44" s="2">
        <v>42.47</v>
      </c>
      <c r="T44" s="2">
        <v>252.3</v>
      </c>
      <c r="U44" s="2">
        <v>20.76</v>
      </c>
      <c r="V44" s="2">
        <v>183.6</v>
      </c>
      <c r="W44" s="2">
        <v>31.85</v>
      </c>
      <c r="X44" s="2">
        <v>151.5</v>
      </c>
      <c r="Y44" s="2">
        <v>11.18</v>
      </c>
      <c r="Z44" s="2">
        <v>2.8290000000000002</v>
      </c>
      <c r="AA44" s="2">
        <v>3.4649999999999999</v>
      </c>
      <c r="AB44" s="2">
        <v>21.92</v>
      </c>
      <c r="AC44" s="2">
        <v>144</v>
      </c>
      <c r="AD44" s="2">
        <v>129.6</v>
      </c>
      <c r="AE44" s="2">
        <v>97.82</v>
      </c>
      <c r="AF44" s="2">
        <v>403.6</v>
      </c>
      <c r="AG44" s="2">
        <v>99.54</v>
      </c>
      <c r="AH44" s="2">
        <v>4.17</v>
      </c>
      <c r="AI44" s="2">
        <v>1.5289999999999999</v>
      </c>
      <c r="AJ44" s="2">
        <v>37.479999999999997</v>
      </c>
      <c r="AK44" s="2">
        <v>0.80400000000000005</v>
      </c>
      <c r="AL44" s="2">
        <v>56.06</v>
      </c>
      <c r="AM44" s="2"/>
      <c r="AN44" s="2"/>
      <c r="AO44" s="2">
        <v>0.60499999999999998</v>
      </c>
      <c r="AP44" s="4">
        <v>5061.76</v>
      </c>
      <c r="AQ44" s="4">
        <v>916.9</v>
      </c>
      <c r="AR44" s="4">
        <v>14567.83</v>
      </c>
      <c r="AS44" s="2">
        <v>16.46</v>
      </c>
      <c r="AT44" s="2">
        <v>38.950000000000003</v>
      </c>
      <c r="AU44" s="2">
        <v>5.3559999999999999</v>
      </c>
      <c r="AV44" s="2">
        <v>23.8</v>
      </c>
      <c r="AW44" s="2">
        <v>5.7489999999999997</v>
      </c>
      <c r="AX44" s="2">
        <v>1.883</v>
      </c>
      <c r="AY44" s="2">
        <v>5.944</v>
      </c>
      <c r="AZ44" s="2">
        <v>1.0029999999999999</v>
      </c>
      <c r="BA44" s="2">
        <v>6.3380000000000001</v>
      </c>
      <c r="BB44" s="2">
        <v>1.3240000000000001</v>
      </c>
      <c r="BC44" s="2">
        <v>3.5350000000000001</v>
      </c>
      <c r="BD44" s="2">
        <v>0.5</v>
      </c>
      <c r="BE44" s="2">
        <v>3.1560000000000001</v>
      </c>
      <c r="BF44" s="2">
        <v>0.495</v>
      </c>
      <c r="BG44" s="5" t="s">
        <v>39</v>
      </c>
    </row>
    <row r="45" spans="1:59" ht="15.75" x14ac:dyDescent="0.15">
      <c r="A45" s="2" t="s">
        <v>47</v>
      </c>
      <c r="B45" s="1" t="s">
        <v>174</v>
      </c>
      <c r="C45" s="1">
        <v>1320</v>
      </c>
      <c r="D45" s="2">
        <v>47.4</v>
      </c>
      <c r="E45" s="2">
        <v>1.61</v>
      </c>
      <c r="F45" s="2">
        <v>12.89</v>
      </c>
      <c r="G45" s="2">
        <v>12.93</v>
      </c>
      <c r="H45" s="2">
        <v>0.14000000000000001</v>
      </c>
      <c r="I45" s="2">
        <v>8.26</v>
      </c>
      <c r="J45" s="2">
        <v>5.6</v>
      </c>
      <c r="K45" s="2">
        <v>1.77</v>
      </c>
      <c r="L45" s="2">
        <v>1.96</v>
      </c>
      <c r="M45" s="2">
        <v>0.11</v>
      </c>
      <c r="N45" s="2">
        <v>7.07</v>
      </c>
      <c r="O45" s="2">
        <v>99.74</v>
      </c>
      <c r="P45" s="2"/>
      <c r="Q45" s="2">
        <f t="shared" si="0"/>
        <v>3.73</v>
      </c>
      <c r="R45" s="2">
        <v>0.85</v>
      </c>
      <c r="S45" s="2">
        <v>55.87</v>
      </c>
      <c r="T45" s="2">
        <v>742.4</v>
      </c>
      <c r="U45" s="2">
        <v>54.86</v>
      </c>
      <c r="V45" s="2">
        <v>189.7</v>
      </c>
      <c r="W45" s="2">
        <v>19.97</v>
      </c>
      <c r="X45" s="2">
        <v>83.17</v>
      </c>
      <c r="Y45" s="2">
        <v>5.8739999999999997</v>
      </c>
      <c r="Z45" s="2">
        <v>1.65</v>
      </c>
      <c r="AA45" s="2">
        <v>1.986</v>
      </c>
      <c r="AB45" s="2">
        <v>18.46</v>
      </c>
      <c r="AC45" s="2">
        <v>93.65</v>
      </c>
      <c r="AD45" s="2">
        <v>82.33</v>
      </c>
      <c r="AE45" s="2">
        <v>58.57</v>
      </c>
      <c r="AF45" s="2">
        <v>351.8</v>
      </c>
      <c r="AG45" s="2">
        <v>292.89999999999998</v>
      </c>
      <c r="AH45" s="2">
        <v>2.3159999999999998</v>
      </c>
      <c r="AI45" s="2">
        <v>2.5409999999999999</v>
      </c>
      <c r="AJ45" s="2">
        <v>38.4</v>
      </c>
      <c r="AK45" s="2">
        <v>0.43099999999999999</v>
      </c>
      <c r="AL45" s="2">
        <v>38.200000000000003</v>
      </c>
      <c r="AM45" s="2"/>
      <c r="AN45" s="2"/>
      <c r="AO45" s="2">
        <v>0.34100000000000003</v>
      </c>
      <c r="AP45" s="4">
        <v>16264.01</v>
      </c>
      <c r="AQ45" s="4">
        <v>480.28</v>
      </c>
      <c r="AR45" s="4">
        <v>9651.94</v>
      </c>
      <c r="AS45" s="2">
        <v>10.19</v>
      </c>
      <c r="AT45" s="2">
        <v>23.36</v>
      </c>
      <c r="AU45" s="2">
        <v>3.2719999999999998</v>
      </c>
      <c r="AV45" s="2">
        <v>14.58</v>
      </c>
      <c r="AW45" s="2">
        <v>3.5619999999999998</v>
      </c>
      <c r="AX45" s="2">
        <v>1.143</v>
      </c>
      <c r="AY45" s="2">
        <v>3.714</v>
      </c>
      <c r="AZ45" s="2">
        <v>0.61599999999999999</v>
      </c>
      <c r="BA45" s="2">
        <v>3.9140000000000001</v>
      </c>
      <c r="BB45" s="2">
        <v>0.81599999999999995</v>
      </c>
      <c r="BC45" s="2">
        <v>2.1739999999999999</v>
      </c>
      <c r="BD45" s="2">
        <v>0.31</v>
      </c>
      <c r="BE45" s="2">
        <v>1.9990000000000001</v>
      </c>
      <c r="BF45" s="2">
        <v>0.318</v>
      </c>
      <c r="BG45" s="5" t="s">
        <v>39</v>
      </c>
    </row>
    <row r="46" spans="1:59" ht="15.75" x14ac:dyDescent="0.15">
      <c r="A46" s="2" t="s">
        <v>48</v>
      </c>
      <c r="B46" s="1" t="s">
        <v>174</v>
      </c>
      <c r="C46" s="1">
        <v>1320</v>
      </c>
      <c r="D46" s="2">
        <v>49.64</v>
      </c>
      <c r="E46" s="2">
        <v>1.95</v>
      </c>
      <c r="F46" s="2">
        <v>13.76</v>
      </c>
      <c r="G46" s="2">
        <v>13.57</v>
      </c>
      <c r="H46" s="2">
        <v>0.2</v>
      </c>
      <c r="I46" s="2">
        <v>6.09</v>
      </c>
      <c r="J46" s="2">
        <v>9.8800000000000008</v>
      </c>
      <c r="K46" s="2">
        <v>1.77</v>
      </c>
      <c r="L46" s="2">
        <v>0.62</v>
      </c>
      <c r="M46" s="2">
        <v>0.15</v>
      </c>
      <c r="N46" s="2">
        <v>2.27</v>
      </c>
      <c r="O46" s="2">
        <v>99.9</v>
      </c>
      <c r="P46" s="2"/>
      <c r="Q46" s="2">
        <f t="shared" si="0"/>
        <v>2.39</v>
      </c>
      <c r="R46" s="2">
        <v>0.64</v>
      </c>
      <c r="S46" s="2">
        <v>47.07</v>
      </c>
      <c r="T46" s="2">
        <v>193.8</v>
      </c>
      <c r="U46" s="2">
        <v>18.96</v>
      </c>
      <c r="V46" s="2">
        <v>187.6</v>
      </c>
      <c r="W46" s="2">
        <v>22.99</v>
      </c>
      <c r="X46" s="2">
        <v>108.5</v>
      </c>
      <c r="Y46" s="2">
        <v>4.2640000000000002</v>
      </c>
      <c r="Z46" s="2">
        <v>2.2589999999999999</v>
      </c>
      <c r="AA46" s="2">
        <v>2.6789999999999998</v>
      </c>
      <c r="AB46" s="2">
        <v>20.29</v>
      </c>
      <c r="AC46" s="2">
        <v>111.6</v>
      </c>
      <c r="AD46" s="2">
        <v>102.4</v>
      </c>
      <c r="AE46" s="2">
        <v>68.290000000000006</v>
      </c>
      <c r="AF46" s="2">
        <v>356.5</v>
      </c>
      <c r="AG46" s="2">
        <v>203.7</v>
      </c>
      <c r="AH46" s="2">
        <v>2.9329999999999998</v>
      </c>
      <c r="AI46" s="2">
        <v>0.86499999999999999</v>
      </c>
      <c r="AJ46" s="2">
        <v>37.46</v>
      </c>
      <c r="AK46" s="2">
        <v>0.314</v>
      </c>
      <c r="AL46" s="2">
        <v>47.16</v>
      </c>
      <c r="AM46" s="2"/>
      <c r="AN46" s="2"/>
      <c r="AO46" s="2">
        <v>0.47799999999999998</v>
      </c>
      <c r="AP46" s="4">
        <v>5144.74</v>
      </c>
      <c r="AQ46" s="4">
        <v>654.92999999999995</v>
      </c>
      <c r="AR46" s="4">
        <v>11690.24</v>
      </c>
      <c r="AS46" s="2">
        <v>12.07</v>
      </c>
      <c r="AT46" s="2">
        <v>27.46</v>
      </c>
      <c r="AU46" s="2">
        <v>3.9529999999999998</v>
      </c>
      <c r="AV46" s="2">
        <v>17.46</v>
      </c>
      <c r="AW46" s="2">
        <v>4.2560000000000002</v>
      </c>
      <c r="AX46" s="2">
        <v>1.3919999999999999</v>
      </c>
      <c r="AY46" s="2">
        <v>4.3600000000000003</v>
      </c>
      <c r="AZ46" s="2">
        <v>0.73</v>
      </c>
      <c r="BA46" s="2">
        <v>4.6689999999999996</v>
      </c>
      <c r="BB46" s="2">
        <v>0.95699999999999996</v>
      </c>
      <c r="BC46" s="2">
        <v>2.5649999999999999</v>
      </c>
      <c r="BD46" s="2">
        <v>0.36099999999999999</v>
      </c>
      <c r="BE46" s="2">
        <v>2.2469999999999999</v>
      </c>
      <c r="BF46" s="2">
        <v>0.35099999999999998</v>
      </c>
      <c r="BG46" s="5" t="s">
        <v>39</v>
      </c>
    </row>
    <row r="47" spans="1:59" ht="15.75" x14ac:dyDescent="0.15">
      <c r="A47" s="2" t="s">
        <v>49</v>
      </c>
      <c r="B47" s="1" t="s">
        <v>174</v>
      </c>
      <c r="C47" s="1">
        <v>1320</v>
      </c>
      <c r="D47" s="2">
        <v>51.28</v>
      </c>
      <c r="E47" s="2">
        <v>2.5</v>
      </c>
      <c r="F47" s="2">
        <v>14.24</v>
      </c>
      <c r="G47" s="2">
        <v>12.77</v>
      </c>
      <c r="H47" s="2">
        <v>0.16</v>
      </c>
      <c r="I47" s="2">
        <v>3.69</v>
      </c>
      <c r="J47" s="2">
        <v>8.7200000000000006</v>
      </c>
      <c r="K47" s="2">
        <v>1.99</v>
      </c>
      <c r="L47" s="2">
        <v>0.93</v>
      </c>
      <c r="M47" s="2">
        <v>0.2</v>
      </c>
      <c r="N47" s="2">
        <v>3.28</v>
      </c>
      <c r="O47" s="2">
        <v>99.76</v>
      </c>
      <c r="P47" s="2"/>
      <c r="Q47" s="2">
        <f t="shared" si="0"/>
        <v>2.92</v>
      </c>
      <c r="R47" s="2">
        <v>0.71</v>
      </c>
      <c r="S47" s="2">
        <v>36.409999999999997</v>
      </c>
      <c r="T47" s="2">
        <v>232.6</v>
      </c>
      <c r="U47" s="2">
        <v>35.200000000000003</v>
      </c>
      <c r="V47" s="2">
        <v>210.9</v>
      </c>
      <c r="W47" s="2">
        <v>27.04</v>
      </c>
      <c r="X47" s="2">
        <v>147.4</v>
      </c>
      <c r="Y47" s="2">
        <v>10.19</v>
      </c>
      <c r="Z47" s="2">
        <v>3.9449999999999998</v>
      </c>
      <c r="AA47" s="2">
        <v>5.6120000000000001</v>
      </c>
      <c r="AB47" s="2">
        <v>23.39</v>
      </c>
      <c r="AC47" s="2">
        <v>134.30000000000001</v>
      </c>
      <c r="AD47" s="2">
        <v>55.84</v>
      </c>
      <c r="AE47" s="2">
        <v>44.08</v>
      </c>
      <c r="AF47" s="2">
        <v>419.6</v>
      </c>
      <c r="AG47" s="2">
        <v>82.86</v>
      </c>
      <c r="AH47" s="2">
        <v>4.0789999999999997</v>
      </c>
      <c r="AI47" s="2">
        <v>2.2669999999999999</v>
      </c>
      <c r="AJ47" s="2">
        <v>36.880000000000003</v>
      </c>
      <c r="AK47" s="2">
        <v>0.77</v>
      </c>
      <c r="AL47" s="2">
        <v>46.9</v>
      </c>
      <c r="AM47" s="2"/>
      <c r="AN47" s="2"/>
      <c r="AO47" s="2">
        <v>0.93500000000000005</v>
      </c>
      <c r="AP47" s="4">
        <v>7717.11</v>
      </c>
      <c r="AQ47" s="4">
        <v>873.24</v>
      </c>
      <c r="AR47" s="4">
        <v>14987.48</v>
      </c>
      <c r="AS47" s="2">
        <v>17.54</v>
      </c>
      <c r="AT47" s="2">
        <v>40.369999999999997</v>
      </c>
      <c r="AU47" s="2">
        <v>5.41</v>
      </c>
      <c r="AV47" s="2">
        <v>23.58</v>
      </c>
      <c r="AW47" s="2">
        <v>5.5190000000000001</v>
      </c>
      <c r="AX47" s="2">
        <v>1.8720000000000001</v>
      </c>
      <c r="AY47" s="2">
        <v>5.492</v>
      </c>
      <c r="AZ47" s="2">
        <v>0.9</v>
      </c>
      <c r="BA47" s="2">
        <v>5.7119999999999997</v>
      </c>
      <c r="BB47" s="2">
        <v>1.167</v>
      </c>
      <c r="BC47" s="2">
        <v>3.097</v>
      </c>
      <c r="BD47" s="2">
        <v>0.439</v>
      </c>
      <c r="BE47" s="2">
        <v>2.7250000000000001</v>
      </c>
      <c r="BF47" s="2">
        <v>0.42599999999999999</v>
      </c>
      <c r="BG47" s="5" t="s">
        <v>39</v>
      </c>
    </row>
    <row r="48" spans="1:59" ht="15.75" x14ac:dyDescent="0.15">
      <c r="A48" s="2" t="s">
        <v>50</v>
      </c>
      <c r="B48" s="1" t="s">
        <v>174</v>
      </c>
      <c r="C48" s="1">
        <v>1320</v>
      </c>
      <c r="D48" s="2">
        <v>48.7</v>
      </c>
      <c r="E48" s="2">
        <v>2.29</v>
      </c>
      <c r="F48" s="2">
        <v>13.19</v>
      </c>
      <c r="G48" s="2">
        <v>15.09</v>
      </c>
      <c r="H48" s="2">
        <v>0.19</v>
      </c>
      <c r="I48" s="2">
        <v>6.02</v>
      </c>
      <c r="J48" s="2">
        <v>9.5399999999999991</v>
      </c>
      <c r="K48" s="2">
        <v>1.74</v>
      </c>
      <c r="L48" s="2">
        <v>0.73</v>
      </c>
      <c r="M48" s="2">
        <v>0.19</v>
      </c>
      <c r="N48" s="2">
        <v>2.21</v>
      </c>
      <c r="O48" s="2">
        <v>99.89</v>
      </c>
      <c r="P48" s="2"/>
      <c r="Q48" s="2">
        <f t="shared" si="0"/>
        <v>2.4699999999999998</v>
      </c>
      <c r="R48" s="2">
        <v>0.63</v>
      </c>
      <c r="S48" s="2">
        <v>44.14</v>
      </c>
      <c r="T48" s="2">
        <v>297</v>
      </c>
      <c r="U48" s="2">
        <v>25.12</v>
      </c>
      <c r="V48" s="2">
        <v>178.3</v>
      </c>
      <c r="W48" s="2">
        <v>29.19</v>
      </c>
      <c r="X48" s="2">
        <v>148.30000000000001</v>
      </c>
      <c r="Y48" s="2">
        <v>10.3</v>
      </c>
      <c r="Z48" s="2">
        <v>2.7290000000000001</v>
      </c>
      <c r="AA48" s="2">
        <v>4.4409999999999998</v>
      </c>
      <c r="AB48" s="2">
        <v>21.2</v>
      </c>
      <c r="AC48" s="2">
        <v>126.9</v>
      </c>
      <c r="AD48" s="2">
        <v>138.69999999999999</v>
      </c>
      <c r="AE48" s="2">
        <v>85.32</v>
      </c>
      <c r="AF48" s="2">
        <v>378.3</v>
      </c>
      <c r="AG48" s="2">
        <v>219.6</v>
      </c>
      <c r="AH48" s="2">
        <v>3.9929999999999999</v>
      </c>
      <c r="AI48" s="2">
        <v>2.6280000000000001</v>
      </c>
      <c r="AJ48" s="2">
        <v>38.28</v>
      </c>
      <c r="AK48" s="2">
        <v>0.76200000000000001</v>
      </c>
      <c r="AL48" s="2">
        <v>53.04</v>
      </c>
      <c r="AM48" s="2"/>
      <c r="AN48" s="2"/>
      <c r="AO48" s="2">
        <v>0.57399999999999995</v>
      </c>
      <c r="AP48" s="4">
        <v>6057.51</v>
      </c>
      <c r="AQ48" s="4">
        <v>829.58</v>
      </c>
      <c r="AR48" s="4">
        <v>13728.54</v>
      </c>
      <c r="AS48" s="2">
        <v>15.52</v>
      </c>
      <c r="AT48" s="2">
        <v>36.68</v>
      </c>
      <c r="AU48" s="2">
        <v>5.093</v>
      </c>
      <c r="AV48" s="2">
        <v>22.61</v>
      </c>
      <c r="AW48" s="2">
        <v>5.4409999999999998</v>
      </c>
      <c r="AX48" s="2">
        <v>1.613</v>
      </c>
      <c r="AY48" s="2">
        <v>5.6139999999999999</v>
      </c>
      <c r="AZ48" s="2">
        <v>0.94</v>
      </c>
      <c r="BA48" s="2">
        <v>5.9690000000000003</v>
      </c>
      <c r="BB48" s="2">
        <v>1.2310000000000001</v>
      </c>
      <c r="BC48" s="2">
        <v>3.3180000000000001</v>
      </c>
      <c r="BD48" s="2">
        <v>0.47</v>
      </c>
      <c r="BE48" s="2">
        <v>2.9689999999999999</v>
      </c>
      <c r="BF48" s="2">
        <v>0.46</v>
      </c>
      <c r="BG48" s="5" t="s">
        <v>39</v>
      </c>
    </row>
    <row r="49" spans="1:59" ht="15.75" x14ac:dyDescent="0.15">
      <c r="A49" s="2" t="s">
        <v>51</v>
      </c>
      <c r="B49" s="1" t="s">
        <v>174</v>
      </c>
      <c r="C49" s="1">
        <v>1320</v>
      </c>
      <c r="D49" s="2">
        <v>49.82</v>
      </c>
      <c r="E49" s="2">
        <v>2.06</v>
      </c>
      <c r="F49" s="2">
        <v>13.69</v>
      </c>
      <c r="G49" s="2">
        <v>12.78</v>
      </c>
      <c r="H49" s="2">
        <v>0.18</v>
      </c>
      <c r="I49" s="2">
        <v>6.12</v>
      </c>
      <c r="J49" s="2">
        <v>9.92</v>
      </c>
      <c r="K49" s="2">
        <v>1.92</v>
      </c>
      <c r="L49" s="2">
        <v>0.82</v>
      </c>
      <c r="M49" s="2">
        <v>0.17</v>
      </c>
      <c r="N49" s="2">
        <v>2.31</v>
      </c>
      <c r="O49" s="2">
        <v>99.79</v>
      </c>
      <c r="P49" s="2"/>
      <c r="Q49" s="2">
        <f t="shared" si="0"/>
        <v>2.7399999999999998</v>
      </c>
      <c r="R49" s="2">
        <v>0.62</v>
      </c>
      <c r="S49" s="2">
        <v>48.69</v>
      </c>
      <c r="T49" s="2">
        <v>318.39999999999998</v>
      </c>
      <c r="U49" s="2">
        <v>24.9</v>
      </c>
      <c r="V49" s="2">
        <v>195.7</v>
      </c>
      <c r="W49" s="2">
        <v>24.93</v>
      </c>
      <c r="X49" s="2">
        <v>120.4</v>
      </c>
      <c r="Y49" s="2">
        <v>8.5440000000000005</v>
      </c>
      <c r="Z49" s="2">
        <v>2.4809999999999999</v>
      </c>
      <c r="AA49" s="2">
        <v>3.016</v>
      </c>
      <c r="AB49" s="2">
        <v>20.72</v>
      </c>
      <c r="AC49" s="2">
        <v>119.7</v>
      </c>
      <c r="AD49" s="2">
        <v>106.5</v>
      </c>
      <c r="AE49" s="2">
        <v>59.16</v>
      </c>
      <c r="AF49" s="2">
        <v>389.7</v>
      </c>
      <c r="AG49" s="2">
        <v>206.3</v>
      </c>
      <c r="AH49" s="2">
        <v>3.2879999999999998</v>
      </c>
      <c r="AI49" s="2">
        <v>1.304</v>
      </c>
      <c r="AJ49" s="2">
        <v>40.72</v>
      </c>
      <c r="AK49" s="2">
        <v>0.61799999999999999</v>
      </c>
      <c r="AL49" s="2">
        <v>44.6</v>
      </c>
      <c r="AM49" s="2"/>
      <c r="AN49" s="2"/>
      <c r="AO49" s="2">
        <v>0.54900000000000004</v>
      </c>
      <c r="AP49" s="4">
        <v>6804.33</v>
      </c>
      <c r="AQ49" s="4">
        <v>742.25</v>
      </c>
      <c r="AR49" s="4">
        <v>12349.69</v>
      </c>
      <c r="AS49" s="2">
        <v>12.91</v>
      </c>
      <c r="AT49" s="2">
        <v>30.21</v>
      </c>
      <c r="AU49" s="2">
        <v>4.28</v>
      </c>
      <c r="AV49" s="2">
        <v>18.98</v>
      </c>
      <c r="AW49" s="2">
        <v>4.6420000000000003</v>
      </c>
      <c r="AX49" s="2">
        <v>1.5409999999999999</v>
      </c>
      <c r="AY49" s="2">
        <v>4.7729999999999997</v>
      </c>
      <c r="AZ49" s="2">
        <v>0.79600000000000004</v>
      </c>
      <c r="BA49" s="2">
        <v>5.0410000000000004</v>
      </c>
      <c r="BB49" s="2">
        <v>1.042</v>
      </c>
      <c r="BC49" s="2">
        <v>2.7570000000000001</v>
      </c>
      <c r="BD49" s="2">
        <v>0.38800000000000001</v>
      </c>
      <c r="BE49" s="2">
        <v>2.3980000000000001</v>
      </c>
      <c r="BF49" s="2">
        <v>0.373</v>
      </c>
      <c r="BG49" s="5" t="s">
        <v>39</v>
      </c>
    </row>
    <row r="50" spans="1:59" ht="15.75" x14ac:dyDescent="0.15">
      <c r="A50" s="2" t="s">
        <v>52</v>
      </c>
      <c r="B50" s="1" t="s">
        <v>174</v>
      </c>
      <c r="C50" s="1">
        <v>1320</v>
      </c>
      <c r="D50" s="2">
        <v>48.81</v>
      </c>
      <c r="E50" s="2">
        <v>2.08</v>
      </c>
      <c r="F50" s="2">
        <v>13.6</v>
      </c>
      <c r="G50" s="2">
        <v>14.44</v>
      </c>
      <c r="H50" s="2">
        <v>0.18</v>
      </c>
      <c r="I50" s="2">
        <v>6.04</v>
      </c>
      <c r="J50" s="2">
        <v>9.85</v>
      </c>
      <c r="K50" s="2">
        <v>1.98</v>
      </c>
      <c r="L50" s="2">
        <v>0.86</v>
      </c>
      <c r="M50" s="2">
        <v>0.17</v>
      </c>
      <c r="N50" s="2">
        <v>1.83</v>
      </c>
      <c r="O50" s="2">
        <v>99.84</v>
      </c>
      <c r="P50" s="2"/>
      <c r="Q50" s="2">
        <f t="shared" si="0"/>
        <v>2.84</v>
      </c>
      <c r="R50" s="2">
        <v>0.62</v>
      </c>
      <c r="S50" s="2">
        <v>45.33</v>
      </c>
      <c r="T50" s="2">
        <v>329.2</v>
      </c>
      <c r="U50" s="2">
        <v>24.51</v>
      </c>
      <c r="V50" s="2">
        <v>220.2</v>
      </c>
      <c r="W50" s="2">
        <v>27.03</v>
      </c>
      <c r="X50" s="2">
        <v>129</v>
      </c>
      <c r="Y50" s="2">
        <v>9.2560000000000002</v>
      </c>
      <c r="Z50" s="2">
        <v>2.4340000000000002</v>
      </c>
      <c r="AA50" s="2">
        <v>3.9060000000000001</v>
      </c>
      <c r="AB50" s="2">
        <v>20.88</v>
      </c>
      <c r="AC50" s="2">
        <v>114</v>
      </c>
      <c r="AD50" s="2">
        <v>119.3</v>
      </c>
      <c r="AE50" s="2">
        <v>69.45</v>
      </c>
      <c r="AF50" s="2">
        <v>379.9</v>
      </c>
      <c r="AG50" s="2">
        <v>312.2</v>
      </c>
      <c r="AH50" s="2">
        <v>3.4860000000000002</v>
      </c>
      <c r="AI50" s="2">
        <v>0.64100000000000001</v>
      </c>
      <c r="AJ50" s="2">
        <v>40.299999999999997</v>
      </c>
      <c r="AK50" s="2">
        <v>0.66700000000000004</v>
      </c>
      <c r="AL50" s="2">
        <v>47.04</v>
      </c>
      <c r="AM50" s="2"/>
      <c r="AN50" s="2"/>
      <c r="AO50" s="2">
        <v>0.50600000000000001</v>
      </c>
      <c r="AP50" s="4">
        <v>7136.25</v>
      </c>
      <c r="AQ50" s="4">
        <v>742.25</v>
      </c>
      <c r="AR50" s="4">
        <v>12469.59</v>
      </c>
      <c r="AS50" s="2">
        <v>13.61</v>
      </c>
      <c r="AT50" s="2">
        <v>31.63</v>
      </c>
      <c r="AU50" s="2">
        <v>4.46</v>
      </c>
      <c r="AV50" s="2">
        <v>20.25</v>
      </c>
      <c r="AW50" s="2">
        <v>4.9240000000000004</v>
      </c>
      <c r="AX50" s="2">
        <v>1.5980000000000001</v>
      </c>
      <c r="AY50" s="2">
        <v>5.1189999999999998</v>
      </c>
      <c r="AZ50" s="2">
        <v>0.86</v>
      </c>
      <c r="BA50" s="2">
        <v>5.45</v>
      </c>
      <c r="BB50" s="2">
        <v>1.1379999999999999</v>
      </c>
      <c r="BC50" s="2">
        <v>3.0310000000000001</v>
      </c>
      <c r="BD50" s="2">
        <v>0.43099999999999999</v>
      </c>
      <c r="BE50" s="2">
        <v>2.68</v>
      </c>
      <c r="BF50" s="2">
        <v>0.42299999999999999</v>
      </c>
      <c r="BG50" s="5" t="s">
        <v>39</v>
      </c>
    </row>
    <row r="51" spans="1:59" ht="15.75" x14ac:dyDescent="0.15">
      <c r="A51" s="2" t="s">
        <v>53</v>
      </c>
      <c r="B51" s="1" t="s">
        <v>174</v>
      </c>
      <c r="C51" s="1">
        <v>1320</v>
      </c>
      <c r="D51" s="2">
        <v>50.26</v>
      </c>
      <c r="E51" s="2">
        <v>2.0699999999999998</v>
      </c>
      <c r="F51" s="2">
        <v>13.44</v>
      </c>
      <c r="G51" s="2">
        <v>13.87</v>
      </c>
      <c r="H51" s="2">
        <v>0.2</v>
      </c>
      <c r="I51" s="2">
        <v>6.17</v>
      </c>
      <c r="J51" s="2">
        <v>9.5399999999999991</v>
      </c>
      <c r="K51" s="2">
        <v>1.83</v>
      </c>
      <c r="L51" s="2">
        <v>0.99</v>
      </c>
      <c r="M51" s="2">
        <v>0.16</v>
      </c>
      <c r="N51" s="2">
        <v>1.4</v>
      </c>
      <c r="O51" s="2">
        <v>99.93</v>
      </c>
      <c r="P51" s="2"/>
      <c r="Q51" s="2">
        <f t="shared" si="0"/>
        <v>2.8200000000000003</v>
      </c>
      <c r="R51" s="2">
        <v>0.63</v>
      </c>
      <c r="S51" s="2">
        <v>46.85</v>
      </c>
      <c r="T51" s="2">
        <v>411.4</v>
      </c>
      <c r="U51" s="2">
        <v>28.68</v>
      </c>
      <c r="V51" s="2">
        <v>232</v>
      </c>
      <c r="W51" s="2">
        <v>24.27</v>
      </c>
      <c r="X51" s="2">
        <v>122.7</v>
      </c>
      <c r="Y51" s="2">
        <v>8.6199999999999992</v>
      </c>
      <c r="Z51" s="2">
        <v>2.496</v>
      </c>
      <c r="AA51" s="2">
        <v>3.9279999999999999</v>
      </c>
      <c r="AB51" s="2">
        <v>21.41</v>
      </c>
      <c r="AC51" s="2">
        <v>121</v>
      </c>
      <c r="AD51" s="2">
        <v>109.3</v>
      </c>
      <c r="AE51" s="2">
        <v>61.99</v>
      </c>
      <c r="AF51" s="2">
        <v>402.1</v>
      </c>
      <c r="AG51" s="2">
        <v>223.9</v>
      </c>
      <c r="AH51" s="2">
        <v>3.3029999999999999</v>
      </c>
      <c r="AI51" s="2">
        <v>0.90800000000000003</v>
      </c>
      <c r="AJ51" s="2">
        <v>41.74</v>
      </c>
      <c r="AK51" s="2">
        <v>0.626</v>
      </c>
      <c r="AL51" s="2">
        <v>49.21</v>
      </c>
      <c r="AM51" s="2"/>
      <c r="AN51" s="2"/>
      <c r="AO51" s="2">
        <v>0.51700000000000002</v>
      </c>
      <c r="AP51" s="4">
        <v>8214.98</v>
      </c>
      <c r="AQ51" s="4">
        <v>698.59</v>
      </c>
      <c r="AR51" s="4">
        <v>12409.64</v>
      </c>
      <c r="AS51" s="2">
        <v>12.67</v>
      </c>
      <c r="AT51" s="2">
        <v>29.27</v>
      </c>
      <c r="AU51" s="2">
        <v>4.1849999999999996</v>
      </c>
      <c r="AV51" s="2">
        <v>18.72</v>
      </c>
      <c r="AW51" s="2">
        <v>4.57</v>
      </c>
      <c r="AX51" s="2">
        <v>1.4650000000000001</v>
      </c>
      <c r="AY51" s="2">
        <v>4.6909999999999998</v>
      </c>
      <c r="AZ51" s="2">
        <v>0.79700000000000004</v>
      </c>
      <c r="BA51" s="2">
        <v>4.9580000000000002</v>
      </c>
      <c r="BB51" s="2">
        <v>1.0169999999999999</v>
      </c>
      <c r="BC51" s="2">
        <v>2.6640000000000001</v>
      </c>
      <c r="BD51" s="2">
        <v>0.373</v>
      </c>
      <c r="BE51" s="2">
        <v>2.351</v>
      </c>
      <c r="BF51" s="2">
        <v>0.36899999999999999</v>
      </c>
      <c r="BG51" s="5" t="s">
        <v>39</v>
      </c>
    </row>
    <row r="52" spans="1:59" ht="15.75" x14ac:dyDescent="0.15">
      <c r="A52" s="2" t="s">
        <v>54</v>
      </c>
      <c r="B52" s="1" t="s">
        <v>174</v>
      </c>
      <c r="C52" s="1">
        <v>1320</v>
      </c>
      <c r="D52" s="2">
        <v>50.24</v>
      </c>
      <c r="E52" s="2">
        <v>2.1800000000000002</v>
      </c>
      <c r="F52" s="2">
        <v>12.9</v>
      </c>
      <c r="G52" s="2">
        <v>14.74</v>
      </c>
      <c r="H52" s="2">
        <v>0.19</v>
      </c>
      <c r="I52" s="2">
        <v>5.64</v>
      </c>
      <c r="J52" s="2">
        <v>9.8000000000000007</v>
      </c>
      <c r="K52" s="2">
        <v>1.83</v>
      </c>
      <c r="L52" s="2">
        <v>0.64</v>
      </c>
      <c r="M52" s="2">
        <v>0.17</v>
      </c>
      <c r="N52" s="2">
        <v>1.58</v>
      </c>
      <c r="O52" s="2">
        <v>99.91</v>
      </c>
      <c r="P52" s="2"/>
      <c r="Q52" s="2">
        <f t="shared" si="0"/>
        <v>2.4700000000000002</v>
      </c>
      <c r="R52" s="2">
        <v>0.6</v>
      </c>
      <c r="S52" s="2">
        <v>43.13</v>
      </c>
      <c r="T52" s="2">
        <v>167.4</v>
      </c>
      <c r="U52" s="2">
        <v>21.23</v>
      </c>
      <c r="V52" s="2">
        <v>176.7</v>
      </c>
      <c r="W52" s="2">
        <v>25.48</v>
      </c>
      <c r="X52" s="2">
        <v>127</v>
      </c>
      <c r="Y52" s="2">
        <v>8.8249999999999993</v>
      </c>
      <c r="Z52" s="2">
        <v>2.5880000000000001</v>
      </c>
      <c r="AA52" s="2">
        <v>3.6019999999999999</v>
      </c>
      <c r="AB52" s="2">
        <v>20.79</v>
      </c>
      <c r="AC52" s="2">
        <v>117.8</v>
      </c>
      <c r="AD52" s="2">
        <v>110.3</v>
      </c>
      <c r="AE52" s="2">
        <v>50.76</v>
      </c>
      <c r="AF52" s="2">
        <v>393.2</v>
      </c>
      <c r="AG52" s="2">
        <v>142.6</v>
      </c>
      <c r="AH52" s="2">
        <v>3.4660000000000002</v>
      </c>
      <c r="AI52" s="2">
        <v>1.8069999999999999</v>
      </c>
      <c r="AJ52" s="2">
        <v>39.39</v>
      </c>
      <c r="AK52" s="2">
        <v>0.63200000000000001</v>
      </c>
      <c r="AL52" s="2">
        <v>45.51</v>
      </c>
      <c r="AM52" s="2"/>
      <c r="AN52" s="2"/>
      <c r="AO52" s="2">
        <v>0.56399999999999995</v>
      </c>
      <c r="AP52" s="4">
        <v>5310.7</v>
      </c>
      <c r="AQ52" s="4">
        <v>742.25</v>
      </c>
      <c r="AR52" s="4">
        <v>13069.09</v>
      </c>
      <c r="AS52" s="2">
        <v>13.65</v>
      </c>
      <c r="AT52" s="2">
        <v>31.52</v>
      </c>
      <c r="AU52" s="2">
        <v>4.4550000000000001</v>
      </c>
      <c r="AV52" s="2">
        <v>19.670000000000002</v>
      </c>
      <c r="AW52" s="2">
        <v>4.7930000000000001</v>
      </c>
      <c r="AX52" s="2">
        <v>1.4890000000000001</v>
      </c>
      <c r="AY52" s="2">
        <v>4.8650000000000002</v>
      </c>
      <c r="AZ52" s="2">
        <v>0.81499999999999995</v>
      </c>
      <c r="BA52" s="2">
        <v>5.2089999999999996</v>
      </c>
      <c r="BB52" s="2">
        <v>1.07</v>
      </c>
      <c r="BC52" s="2">
        <v>2.847</v>
      </c>
      <c r="BD52" s="2">
        <v>0.40300000000000002</v>
      </c>
      <c r="BE52" s="2">
        <v>2.5150000000000001</v>
      </c>
      <c r="BF52" s="2">
        <v>0.39700000000000002</v>
      </c>
      <c r="BG52" s="5" t="s">
        <v>39</v>
      </c>
    </row>
    <row r="53" spans="1:59" ht="15.75" x14ac:dyDescent="0.15">
      <c r="A53" s="2" t="s">
        <v>55</v>
      </c>
      <c r="B53" s="1" t="s">
        <v>174</v>
      </c>
      <c r="C53" s="1">
        <v>1320</v>
      </c>
      <c r="D53" s="2">
        <v>47.99</v>
      </c>
      <c r="E53" s="2">
        <v>1.79</v>
      </c>
      <c r="F53" s="2">
        <v>15.15</v>
      </c>
      <c r="G53" s="2">
        <v>14.04</v>
      </c>
      <c r="H53" s="2">
        <v>0.18</v>
      </c>
      <c r="I53" s="2">
        <v>5.57</v>
      </c>
      <c r="J53" s="2">
        <v>8.9</v>
      </c>
      <c r="K53" s="2">
        <v>2.74</v>
      </c>
      <c r="L53" s="2">
        <v>1.2</v>
      </c>
      <c r="M53" s="2">
        <v>0.16</v>
      </c>
      <c r="N53" s="2">
        <v>2.16</v>
      </c>
      <c r="O53" s="2">
        <v>99.88</v>
      </c>
      <c r="P53" s="2"/>
      <c r="Q53" s="2">
        <f t="shared" si="0"/>
        <v>3.9400000000000004</v>
      </c>
      <c r="R53" s="2">
        <v>0.69</v>
      </c>
      <c r="S53" s="2">
        <v>44.02</v>
      </c>
      <c r="T53" s="2">
        <v>185.4</v>
      </c>
      <c r="U53" s="2">
        <v>36.54</v>
      </c>
      <c r="V53" s="2">
        <v>343.4</v>
      </c>
      <c r="W53" s="2">
        <v>23.86</v>
      </c>
      <c r="X53" s="2">
        <v>124.8</v>
      </c>
      <c r="Y53" s="2">
        <v>8.2910000000000004</v>
      </c>
      <c r="Z53" s="2">
        <v>2.4689999999999999</v>
      </c>
      <c r="AA53" s="2">
        <v>5.625</v>
      </c>
      <c r="AB53" s="2">
        <v>21.15</v>
      </c>
      <c r="AC53" s="2">
        <v>100.7</v>
      </c>
      <c r="AD53" s="2">
        <v>88.9</v>
      </c>
      <c r="AE53" s="2">
        <v>94.03</v>
      </c>
      <c r="AF53" s="2">
        <v>309.10000000000002</v>
      </c>
      <c r="AG53" s="2">
        <v>163.4</v>
      </c>
      <c r="AH53" s="2">
        <v>3.367</v>
      </c>
      <c r="AI53" s="2">
        <v>2.0270000000000001</v>
      </c>
      <c r="AJ53" s="2">
        <v>31.07</v>
      </c>
      <c r="AK53" s="2">
        <v>0.60599999999999998</v>
      </c>
      <c r="AL53" s="2">
        <v>49.37</v>
      </c>
      <c r="AM53" s="2"/>
      <c r="AN53" s="2"/>
      <c r="AO53" s="2">
        <v>0.52</v>
      </c>
      <c r="AP53" s="4">
        <v>9957.56</v>
      </c>
      <c r="AQ53" s="4">
        <v>698.59</v>
      </c>
      <c r="AR53" s="4">
        <v>10731.04</v>
      </c>
      <c r="AS53" s="2">
        <v>14.2</v>
      </c>
      <c r="AT53" s="2">
        <v>30.77</v>
      </c>
      <c r="AU53" s="2">
        <v>4.258</v>
      </c>
      <c r="AV53" s="2">
        <v>18.600000000000001</v>
      </c>
      <c r="AW53" s="2">
        <v>4.38</v>
      </c>
      <c r="AX53" s="2">
        <v>1.4490000000000001</v>
      </c>
      <c r="AY53" s="2">
        <v>4.47</v>
      </c>
      <c r="AZ53" s="2">
        <v>0.752</v>
      </c>
      <c r="BA53" s="2">
        <v>4.7789999999999999</v>
      </c>
      <c r="BB53" s="2">
        <v>0.995</v>
      </c>
      <c r="BC53" s="2">
        <v>2.673</v>
      </c>
      <c r="BD53" s="2">
        <v>0.38500000000000001</v>
      </c>
      <c r="BE53" s="2">
        <v>2.411</v>
      </c>
      <c r="BF53" s="2">
        <v>0.374</v>
      </c>
      <c r="BG53" s="5" t="s">
        <v>39</v>
      </c>
    </row>
    <row r="54" spans="1:59" ht="15.75" x14ac:dyDescent="0.15">
      <c r="A54" s="2" t="s">
        <v>56</v>
      </c>
      <c r="B54" s="1" t="s">
        <v>174</v>
      </c>
      <c r="C54" s="1">
        <v>1320</v>
      </c>
      <c r="D54" s="2">
        <v>48.04</v>
      </c>
      <c r="E54" s="2">
        <v>1.99</v>
      </c>
      <c r="F54" s="2">
        <v>13.94</v>
      </c>
      <c r="G54" s="2">
        <v>14.75</v>
      </c>
      <c r="H54" s="2">
        <v>0.2</v>
      </c>
      <c r="I54" s="2">
        <v>6.27</v>
      </c>
      <c r="J54" s="2">
        <v>9.18</v>
      </c>
      <c r="K54" s="2">
        <v>1.69</v>
      </c>
      <c r="L54" s="2">
        <v>1.29</v>
      </c>
      <c r="M54" s="2">
        <v>0.18</v>
      </c>
      <c r="N54" s="2">
        <v>2.37</v>
      </c>
      <c r="O54" s="2">
        <v>99.9</v>
      </c>
      <c r="P54" s="2"/>
      <c r="Q54" s="2">
        <f t="shared" si="0"/>
        <v>2.98</v>
      </c>
      <c r="R54" s="2">
        <v>0.67</v>
      </c>
      <c r="S54" s="2">
        <v>45.72</v>
      </c>
      <c r="T54" s="2">
        <v>360</v>
      </c>
      <c r="U54" s="2">
        <v>42.73</v>
      </c>
      <c r="V54" s="2">
        <v>207</v>
      </c>
      <c r="W54" s="2">
        <v>25.41</v>
      </c>
      <c r="X54" s="2">
        <v>119.7</v>
      </c>
      <c r="Y54" s="2">
        <v>3.371</v>
      </c>
      <c r="Z54" s="2">
        <v>2.347</v>
      </c>
      <c r="AA54" s="2">
        <v>3.3740000000000001</v>
      </c>
      <c r="AB54" s="2">
        <v>19.989999999999998</v>
      </c>
      <c r="AC54" s="2">
        <v>107.8</v>
      </c>
      <c r="AD54" s="2">
        <v>107.3</v>
      </c>
      <c r="AE54" s="2">
        <v>138.4</v>
      </c>
      <c r="AF54" s="2">
        <v>292.89999999999998</v>
      </c>
      <c r="AG54" s="2">
        <v>172.9</v>
      </c>
      <c r="AH54" s="2">
        <v>3.1909999999999998</v>
      </c>
      <c r="AI54" s="2">
        <v>2.8610000000000002</v>
      </c>
      <c r="AJ54" s="2">
        <v>32.770000000000003</v>
      </c>
      <c r="AK54" s="2">
        <v>0.16500000000000001</v>
      </c>
      <c r="AL54" s="2">
        <v>52.84</v>
      </c>
      <c r="AM54" s="2"/>
      <c r="AN54" s="2"/>
      <c r="AO54" s="2">
        <v>0.51100000000000001</v>
      </c>
      <c r="AP54" s="4">
        <v>10704.37</v>
      </c>
      <c r="AQ54" s="4">
        <v>785.92</v>
      </c>
      <c r="AR54" s="4">
        <v>11930.04</v>
      </c>
      <c r="AS54" s="2">
        <v>13.23</v>
      </c>
      <c r="AT54" s="2">
        <v>30.35</v>
      </c>
      <c r="AU54" s="2">
        <v>4.3559999999999999</v>
      </c>
      <c r="AV54" s="2">
        <v>19.350000000000001</v>
      </c>
      <c r="AW54" s="2">
        <v>4.6619999999999999</v>
      </c>
      <c r="AX54" s="2">
        <v>1.4950000000000001</v>
      </c>
      <c r="AY54" s="2">
        <v>4.7969999999999997</v>
      </c>
      <c r="AZ54" s="2">
        <v>0.80200000000000005</v>
      </c>
      <c r="BA54" s="2">
        <v>5.1440000000000001</v>
      </c>
      <c r="BB54" s="2">
        <v>1.0580000000000001</v>
      </c>
      <c r="BC54" s="2">
        <v>2.8119999999999998</v>
      </c>
      <c r="BD54" s="2">
        <v>0.40500000000000003</v>
      </c>
      <c r="BE54" s="2">
        <v>2.5339999999999998</v>
      </c>
      <c r="BF54" s="2">
        <v>0.40100000000000002</v>
      </c>
      <c r="BG54" s="5" t="s">
        <v>39</v>
      </c>
    </row>
    <row r="55" spans="1:59" ht="15.75" x14ac:dyDescent="0.15">
      <c r="A55" s="2" t="s">
        <v>57</v>
      </c>
      <c r="B55" s="1" t="s">
        <v>174</v>
      </c>
      <c r="C55" s="1">
        <v>1320</v>
      </c>
      <c r="D55" s="2">
        <v>47.99</v>
      </c>
      <c r="E55" s="2">
        <v>2.74</v>
      </c>
      <c r="F55" s="2">
        <v>12.64</v>
      </c>
      <c r="G55" s="2">
        <v>15.64</v>
      </c>
      <c r="H55" s="2">
        <v>0.21</v>
      </c>
      <c r="I55" s="2">
        <v>4.17</v>
      </c>
      <c r="J55" s="2">
        <v>7.98</v>
      </c>
      <c r="K55" s="2">
        <v>1.74</v>
      </c>
      <c r="L55" s="2">
        <v>0.78</v>
      </c>
      <c r="M55" s="2">
        <v>0.23</v>
      </c>
      <c r="N55" s="2">
        <v>5.63</v>
      </c>
      <c r="O55" s="2">
        <v>99.75</v>
      </c>
      <c r="P55" s="2"/>
      <c r="Q55" s="2">
        <f t="shared" si="0"/>
        <v>2.52</v>
      </c>
      <c r="R55" s="2">
        <v>0.69</v>
      </c>
      <c r="S55" s="2">
        <v>34.57</v>
      </c>
      <c r="T55" s="2">
        <v>249.2</v>
      </c>
      <c r="U55" s="2">
        <v>22.09</v>
      </c>
      <c r="V55" s="2">
        <v>221.5</v>
      </c>
      <c r="W55" s="2">
        <v>33.57</v>
      </c>
      <c r="X55" s="2">
        <v>168.5</v>
      </c>
      <c r="Y55" s="2">
        <v>12.88</v>
      </c>
      <c r="Z55" s="2">
        <v>3.1509999999999998</v>
      </c>
      <c r="AA55" s="2">
        <v>4.8760000000000003</v>
      </c>
      <c r="AB55" s="2">
        <v>22.67</v>
      </c>
      <c r="AC55" s="2">
        <v>142.19999999999999</v>
      </c>
      <c r="AD55" s="2">
        <v>130</v>
      </c>
      <c r="AE55" s="2">
        <v>42.22</v>
      </c>
      <c r="AF55" s="2">
        <v>468.8</v>
      </c>
      <c r="AG55" s="2">
        <v>143.5</v>
      </c>
      <c r="AH55" s="2">
        <v>4.524</v>
      </c>
      <c r="AI55" s="2">
        <v>2.798</v>
      </c>
      <c r="AJ55" s="2">
        <v>39.15</v>
      </c>
      <c r="AK55" s="2">
        <v>0.92400000000000004</v>
      </c>
      <c r="AL55" s="2">
        <v>45.53</v>
      </c>
      <c r="AM55" s="2"/>
      <c r="AN55" s="2"/>
      <c r="AO55" s="2">
        <v>0.57599999999999996</v>
      </c>
      <c r="AP55" s="4">
        <v>6472.41</v>
      </c>
      <c r="AQ55" s="4">
        <v>1004.23</v>
      </c>
      <c r="AR55" s="4">
        <v>16426.28</v>
      </c>
      <c r="AS55" s="2">
        <v>17.11</v>
      </c>
      <c r="AT55" s="2">
        <v>40.26</v>
      </c>
      <c r="AU55" s="2">
        <v>5.6349999999999998</v>
      </c>
      <c r="AV55" s="2">
        <v>25.21</v>
      </c>
      <c r="AW55" s="2">
        <v>6.0960000000000001</v>
      </c>
      <c r="AX55" s="2">
        <v>1.8839999999999999</v>
      </c>
      <c r="AY55" s="2">
        <v>6.2060000000000004</v>
      </c>
      <c r="AZ55" s="2">
        <v>1.046</v>
      </c>
      <c r="BA55" s="2">
        <v>6.6929999999999996</v>
      </c>
      <c r="BB55" s="2">
        <v>1.403</v>
      </c>
      <c r="BC55" s="2">
        <v>3.766</v>
      </c>
      <c r="BD55" s="2">
        <v>0.54500000000000004</v>
      </c>
      <c r="BE55" s="2">
        <v>3.3929999999999998</v>
      </c>
      <c r="BF55" s="2">
        <v>0.53</v>
      </c>
      <c r="BG55" s="5" t="s">
        <v>39</v>
      </c>
    </row>
    <row r="56" spans="1:59" ht="15.75" x14ac:dyDescent="0.15">
      <c r="A56" s="2" t="s">
        <v>58</v>
      </c>
      <c r="B56" s="1" t="s">
        <v>174</v>
      </c>
      <c r="C56" s="1">
        <v>1320</v>
      </c>
      <c r="D56" s="2">
        <v>49.08</v>
      </c>
      <c r="E56" s="2">
        <v>2.34</v>
      </c>
      <c r="F56" s="2">
        <v>13.32</v>
      </c>
      <c r="G56" s="2">
        <v>15.81</v>
      </c>
      <c r="H56" s="2">
        <v>0.17</v>
      </c>
      <c r="I56" s="2">
        <v>5</v>
      </c>
      <c r="J56" s="2">
        <v>7.23</v>
      </c>
      <c r="K56" s="2">
        <v>2.2400000000000002</v>
      </c>
      <c r="L56" s="2">
        <v>1.9</v>
      </c>
      <c r="M56" s="2">
        <v>0.21</v>
      </c>
      <c r="N56" s="2">
        <v>2.67</v>
      </c>
      <c r="O56" s="2">
        <v>99.97</v>
      </c>
      <c r="P56" s="2"/>
      <c r="Q56" s="2">
        <f t="shared" si="0"/>
        <v>4.1400000000000006</v>
      </c>
      <c r="R56" s="2">
        <v>0.71</v>
      </c>
      <c r="S56" s="2">
        <v>38.520000000000003</v>
      </c>
      <c r="T56" s="2">
        <v>1126</v>
      </c>
      <c r="U56" s="2">
        <v>83.1</v>
      </c>
      <c r="V56" s="2">
        <v>253</v>
      </c>
      <c r="W56" s="2">
        <v>37.200000000000003</v>
      </c>
      <c r="X56" s="2">
        <v>175</v>
      </c>
      <c r="Y56" s="2">
        <v>13.3</v>
      </c>
      <c r="Z56" s="2">
        <v>3.33</v>
      </c>
      <c r="AA56" s="2">
        <v>5.0999999999999996</v>
      </c>
      <c r="AB56" s="2">
        <v>22.4</v>
      </c>
      <c r="AC56" s="2">
        <v>96.8</v>
      </c>
      <c r="AD56" s="2">
        <v>128</v>
      </c>
      <c r="AE56" s="2">
        <v>96.2</v>
      </c>
      <c r="AF56" s="2">
        <v>414</v>
      </c>
      <c r="AG56" s="2">
        <v>99.5</v>
      </c>
      <c r="AH56" s="2">
        <v>4.58</v>
      </c>
      <c r="AI56" s="2">
        <v>2.94</v>
      </c>
      <c r="AJ56" s="2">
        <v>38.5</v>
      </c>
      <c r="AK56" s="2">
        <v>0.86</v>
      </c>
      <c r="AL56" s="2">
        <v>50.2</v>
      </c>
      <c r="AM56" s="2">
        <v>31.7</v>
      </c>
      <c r="AN56" s="2">
        <v>1.1399999999999999</v>
      </c>
      <c r="AO56" s="2">
        <v>0.69</v>
      </c>
      <c r="AP56" s="4">
        <v>15766.13</v>
      </c>
      <c r="AQ56" s="4">
        <v>916.9</v>
      </c>
      <c r="AR56" s="4">
        <v>14028.29</v>
      </c>
      <c r="AS56" s="2">
        <v>18.899999999999999</v>
      </c>
      <c r="AT56" s="2">
        <v>41.2</v>
      </c>
      <c r="AU56" s="2">
        <v>5.55</v>
      </c>
      <c r="AV56" s="2">
        <v>24.2</v>
      </c>
      <c r="AW56" s="2">
        <v>6.16</v>
      </c>
      <c r="AX56" s="2">
        <v>1.89</v>
      </c>
      <c r="AY56" s="2">
        <v>6.67</v>
      </c>
      <c r="AZ56" s="2">
        <v>1.1000000000000001</v>
      </c>
      <c r="BA56" s="2">
        <v>6.75</v>
      </c>
      <c r="BB56" s="2">
        <v>1.33</v>
      </c>
      <c r="BC56" s="2">
        <v>3.72</v>
      </c>
      <c r="BD56" s="2">
        <v>0.54</v>
      </c>
      <c r="BE56" s="2">
        <v>3.24</v>
      </c>
      <c r="BF56" s="2">
        <v>0.5</v>
      </c>
      <c r="BG56" s="5" t="s">
        <v>39</v>
      </c>
    </row>
    <row r="57" spans="1:59" ht="15.75" x14ac:dyDescent="0.15">
      <c r="A57" s="2" t="s">
        <v>59</v>
      </c>
      <c r="B57" s="1" t="s">
        <v>174</v>
      </c>
      <c r="C57" s="1">
        <v>1320</v>
      </c>
      <c r="D57" s="2">
        <v>49.72</v>
      </c>
      <c r="E57" s="2">
        <v>2.2599999999999998</v>
      </c>
      <c r="F57" s="2">
        <v>13.26</v>
      </c>
      <c r="G57" s="2">
        <v>14.19</v>
      </c>
      <c r="H57" s="2">
        <v>0.18</v>
      </c>
      <c r="I57" s="2">
        <v>5.26</v>
      </c>
      <c r="J57" s="2">
        <v>7.56</v>
      </c>
      <c r="K57" s="2">
        <v>2.4500000000000002</v>
      </c>
      <c r="L57" s="2">
        <v>2.02</v>
      </c>
      <c r="M57" s="2">
        <v>0.19</v>
      </c>
      <c r="N57" s="2">
        <v>2.9</v>
      </c>
      <c r="O57" s="2">
        <v>99.99</v>
      </c>
      <c r="P57" s="2"/>
      <c r="Q57" s="2">
        <f t="shared" si="0"/>
        <v>4.4700000000000006</v>
      </c>
      <c r="R57" s="2">
        <v>0.66</v>
      </c>
      <c r="S57" s="2">
        <v>42.34</v>
      </c>
      <c r="T57" s="2">
        <v>313</v>
      </c>
      <c r="U57" s="2">
        <v>74.900000000000006</v>
      </c>
      <c r="V57" s="2">
        <v>172</v>
      </c>
      <c r="W57" s="2">
        <v>33.5</v>
      </c>
      <c r="X57" s="2">
        <v>137</v>
      </c>
      <c r="Y57" s="2">
        <v>10.8</v>
      </c>
      <c r="Z57" s="2">
        <v>2.59</v>
      </c>
      <c r="AA57" s="2">
        <v>3.9</v>
      </c>
      <c r="AB57" s="2">
        <v>20</v>
      </c>
      <c r="AC57" s="2">
        <v>117</v>
      </c>
      <c r="AD57" s="2">
        <v>104</v>
      </c>
      <c r="AE57" s="2">
        <v>57.3</v>
      </c>
      <c r="AF57" s="2">
        <v>431</v>
      </c>
      <c r="AG57" s="2">
        <v>198</v>
      </c>
      <c r="AH57" s="2">
        <v>3.67</v>
      </c>
      <c r="AI57" s="2">
        <v>1.87</v>
      </c>
      <c r="AJ57" s="2">
        <v>45.4</v>
      </c>
      <c r="AK57" s="2">
        <v>0.7</v>
      </c>
      <c r="AL57" s="2">
        <v>40.6</v>
      </c>
      <c r="AM57" s="2">
        <v>17.3</v>
      </c>
      <c r="AN57" s="2">
        <v>1.07</v>
      </c>
      <c r="AO57" s="2">
        <v>0.54</v>
      </c>
      <c r="AP57" s="4">
        <v>16761.88</v>
      </c>
      <c r="AQ57" s="4">
        <v>829.58</v>
      </c>
      <c r="AR57" s="4">
        <v>13548.69</v>
      </c>
      <c r="AS57" s="2">
        <v>14.1</v>
      </c>
      <c r="AT57" s="2">
        <v>33.1</v>
      </c>
      <c r="AU57" s="2">
        <v>4.54</v>
      </c>
      <c r="AV57" s="2">
        <v>20.5</v>
      </c>
      <c r="AW57" s="2">
        <v>5.3</v>
      </c>
      <c r="AX57" s="2">
        <v>1.7</v>
      </c>
      <c r="AY57" s="2">
        <v>5.88</v>
      </c>
      <c r="AZ57" s="2">
        <v>0.98</v>
      </c>
      <c r="BA57" s="2">
        <v>6.23</v>
      </c>
      <c r="BB57" s="2">
        <v>1.2</v>
      </c>
      <c r="BC57" s="2">
        <v>3.41</v>
      </c>
      <c r="BD57" s="2">
        <v>0.49</v>
      </c>
      <c r="BE57" s="2">
        <v>3.07</v>
      </c>
      <c r="BF57" s="2">
        <v>0.46</v>
      </c>
      <c r="BG57" s="5" t="s">
        <v>39</v>
      </c>
    </row>
    <row r="58" spans="1:59" ht="15.75" x14ac:dyDescent="0.15">
      <c r="A58" s="2" t="s">
        <v>60</v>
      </c>
      <c r="B58" s="1" t="s">
        <v>174</v>
      </c>
      <c r="C58" s="1">
        <v>1320</v>
      </c>
      <c r="D58" s="2">
        <v>54.9</v>
      </c>
      <c r="E58" s="2">
        <v>2.1800000000000002</v>
      </c>
      <c r="F58" s="2">
        <v>11.58</v>
      </c>
      <c r="G58" s="2">
        <v>15.43</v>
      </c>
      <c r="H58" s="2">
        <v>0.21</v>
      </c>
      <c r="I58" s="2">
        <v>0.95</v>
      </c>
      <c r="J58" s="2">
        <v>2.4300000000000002</v>
      </c>
      <c r="K58" s="2">
        <v>2.2599999999999998</v>
      </c>
      <c r="L58" s="2">
        <v>2.68</v>
      </c>
      <c r="M58" s="2">
        <v>0.69</v>
      </c>
      <c r="N58" s="2">
        <v>6.66</v>
      </c>
      <c r="O58" s="2">
        <v>99.97</v>
      </c>
      <c r="P58" s="2"/>
      <c r="Q58" s="2">
        <f t="shared" si="0"/>
        <v>4.9399999999999995</v>
      </c>
      <c r="R58" s="2">
        <v>1.05</v>
      </c>
      <c r="S58" s="2">
        <v>10.88</v>
      </c>
      <c r="T58" s="2">
        <v>998</v>
      </c>
      <c r="U58" s="2">
        <v>79.7</v>
      </c>
      <c r="V58" s="2">
        <v>146</v>
      </c>
      <c r="W58" s="2">
        <v>78.599999999999994</v>
      </c>
      <c r="X58" s="2">
        <v>423</v>
      </c>
      <c r="Y58" s="2">
        <v>26.3</v>
      </c>
      <c r="Z58" s="2">
        <v>8.23</v>
      </c>
      <c r="AA58" s="2">
        <v>19.899999999999999</v>
      </c>
      <c r="AB58" s="2">
        <v>25.8</v>
      </c>
      <c r="AC58" s="2">
        <v>216</v>
      </c>
      <c r="AD58" s="2">
        <v>23.1</v>
      </c>
      <c r="AE58" s="2">
        <v>1.44</v>
      </c>
      <c r="AF58" s="2">
        <v>59.3</v>
      </c>
      <c r="AG58" s="2">
        <v>7.43</v>
      </c>
      <c r="AH58" s="2">
        <v>11.2</v>
      </c>
      <c r="AI58" s="2">
        <v>3.55</v>
      </c>
      <c r="AJ58" s="2">
        <v>28.1</v>
      </c>
      <c r="AK58" s="2">
        <v>1.29</v>
      </c>
      <c r="AL58" s="2">
        <v>17.8</v>
      </c>
      <c r="AM58" s="2">
        <v>16.8</v>
      </c>
      <c r="AN58" s="2">
        <v>2.74</v>
      </c>
      <c r="AO58" s="2">
        <v>1.1100000000000001</v>
      </c>
      <c r="AP58" s="4">
        <v>22238.54</v>
      </c>
      <c r="AQ58" s="4">
        <v>3012.68</v>
      </c>
      <c r="AR58" s="4">
        <v>13069.09</v>
      </c>
      <c r="AS58" s="2">
        <v>49.4</v>
      </c>
      <c r="AT58" s="2">
        <v>106</v>
      </c>
      <c r="AU58" s="2">
        <v>14.6</v>
      </c>
      <c r="AV58" s="2">
        <v>63.9</v>
      </c>
      <c r="AW58" s="2">
        <v>15.3</v>
      </c>
      <c r="AX58" s="2">
        <v>4.1500000000000004</v>
      </c>
      <c r="AY58" s="2">
        <v>16.7</v>
      </c>
      <c r="AZ58" s="2">
        <v>2.64</v>
      </c>
      <c r="BA58" s="2">
        <v>15.7</v>
      </c>
      <c r="BB58" s="2">
        <v>3.09</v>
      </c>
      <c r="BC58" s="2">
        <v>8.1300000000000008</v>
      </c>
      <c r="BD58" s="2">
        <v>1.1399999999999999</v>
      </c>
      <c r="BE58" s="2">
        <v>7.07</v>
      </c>
      <c r="BF58" s="2">
        <v>1.04</v>
      </c>
      <c r="BG58" s="5" t="s">
        <v>39</v>
      </c>
    </row>
    <row r="59" spans="1:59" ht="15.75" x14ac:dyDescent="0.15">
      <c r="A59" s="2" t="s">
        <v>61</v>
      </c>
      <c r="B59" s="1" t="s">
        <v>174</v>
      </c>
      <c r="C59" s="1">
        <v>1320</v>
      </c>
      <c r="D59" s="2">
        <v>49.9</v>
      </c>
      <c r="E59" s="2">
        <v>1.71</v>
      </c>
      <c r="F59" s="2">
        <v>15.12</v>
      </c>
      <c r="G59" s="2">
        <v>12.64</v>
      </c>
      <c r="H59" s="2">
        <v>0.17</v>
      </c>
      <c r="I59" s="2">
        <v>5.7</v>
      </c>
      <c r="J59" s="2">
        <v>7.72</v>
      </c>
      <c r="K59" s="2">
        <v>2.2200000000000002</v>
      </c>
      <c r="L59" s="2">
        <v>2.5099999999999998</v>
      </c>
      <c r="M59" s="2">
        <v>0.15</v>
      </c>
      <c r="N59" s="2">
        <v>2.13</v>
      </c>
      <c r="O59" s="2">
        <v>99.97</v>
      </c>
      <c r="P59" s="2"/>
      <c r="Q59" s="2">
        <f t="shared" si="0"/>
        <v>4.7300000000000004</v>
      </c>
      <c r="R59" s="2">
        <v>0.74</v>
      </c>
      <c r="S59" s="2">
        <v>47.2</v>
      </c>
      <c r="T59" s="2">
        <v>2220</v>
      </c>
      <c r="U59" s="2">
        <v>72.599999999999994</v>
      </c>
      <c r="V59" s="2">
        <v>402</v>
      </c>
      <c r="W59" s="2">
        <v>24.8</v>
      </c>
      <c r="X59" s="2">
        <v>104</v>
      </c>
      <c r="Y59" s="2">
        <v>8.2100000000000009</v>
      </c>
      <c r="Z59" s="2">
        <v>2.12</v>
      </c>
      <c r="AA59" s="2">
        <v>3.44</v>
      </c>
      <c r="AB59" s="2">
        <v>19.899999999999999</v>
      </c>
      <c r="AC59" s="2">
        <v>94.9</v>
      </c>
      <c r="AD59" s="2">
        <v>91.2</v>
      </c>
      <c r="AE59" s="2">
        <v>59.5</v>
      </c>
      <c r="AF59" s="2">
        <v>332</v>
      </c>
      <c r="AG59" s="2">
        <v>292</v>
      </c>
      <c r="AH59" s="2">
        <v>2.85</v>
      </c>
      <c r="AI59" s="2">
        <v>1.74</v>
      </c>
      <c r="AJ59" s="2">
        <v>37</v>
      </c>
      <c r="AK59" s="2">
        <v>0.54</v>
      </c>
      <c r="AL59" s="2">
        <v>42</v>
      </c>
      <c r="AM59" s="2">
        <v>23</v>
      </c>
      <c r="AN59" s="2">
        <v>0.78</v>
      </c>
      <c r="AO59" s="2">
        <v>0.47</v>
      </c>
      <c r="AP59" s="4">
        <v>20827.89</v>
      </c>
      <c r="AQ59" s="4">
        <v>654.92999999999995</v>
      </c>
      <c r="AR59" s="4">
        <v>10251.44</v>
      </c>
      <c r="AS59" s="2">
        <v>11.4</v>
      </c>
      <c r="AT59" s="2">
        <v>27.2</v>
      </c>
      <c r="AU59" s="2">
        <v>3.62</v>
      </c>
      <c r="AV59" s="2">
        <v>16.2</v>
      </c>
      <c r="AW59" s="2">
        <v>4.1399999999999997</v>
      </c>
      <c r="AX59" s="2">
        <v>1.43</v>
      </c>
      <c r="AY59" s="2">
        <v>4.5999999999999996</v>
      </c>
      <c r="AZ59" s="2">
        <v>0.72</v>
      </c>
      <c r="BA59" s="2">
        <v>4.62</v>
      </c>
      <c r="BB59" s="2">
        <v>0.9</v>
      </c>
      <c r="BC59" s="2">
        <v>2.4700000000000002</v>
      </c>
      <c r="BD59" s="2">
        <v>0.35</v>
      </c>
      <c r="BE59" s="2">
        <v>2.2200000000000002</v>
      </c>
      <c r="BF59" s="2">
        <v>0.33</v>
      </c>
      <c r="BG59" s="5" t="s">
        <v>39</v>
      </c>
    </row>
    <row r="60" spans="1:59" ht="15.75" x14ac:dyDescent="0.15">
      <c r="A60" s="2" t="s">
        <v>62</v>
      </c>
      <c r="B60" s="1" t="s">
        <v>174</v>
      </c>
      <c r="C60" s="1">
        <v>1320</v>
      </c>
      <c r="D60" s="2">
        <v>47.54</v>
      </c>
      <c r="E60" s="2">
        <v>2.3199999999999998</v>
      </c>
      <c r="F60" s="2">
        <v>14.22</v>
      </c>
      <c r="G60" s="2">
        <v>13.69</v>
      </c>
      <c r="H60" s="2">
        <v>0.15</v>
      </c>
      <c r="I60" s="2">
        <v>4.72</v>
      </c>
      <c r="J60" s="2">
        <v>10.06</v>
      </c>
      <c r="K60" s="2">
        <v>1.83</v>
      </c>
      <c r="L60" s="2">
        <v>0.48</v>
      </c>
      <c r="M60" s="2">
        <v>0.2</v>
      </c>
      <c r="N60" s="2">
        <v>4.74</v>
      </c>
      <c r="O60" s="2">
        <v>99.95</v>
      </c>
      <c r="P60" s="2"/>
      <c r="Q60" s="2">
        <f t="shared" si="0"/>
        <v>2.31</v>
      </c>
      <c r="R60" s="2">
        <v>0.65</v>
      </c>
      <c r="S60" s="2">
        <v>40.58</v>
      </c>
      <c r="T60" s="2">
        <v>282</v>
      </c>
      <c r="U60" s="2">
        <v>20.100000000000001</v>
      </c>
      <c r="V60" s="2">
        <v>189</v>
      </c>
      <c r="W60" s="2">
        <v>31.9</v>
      </c>
      <c r="X60" s="2">
        <v>148</v>
      </c>
      <c r="Y60" s="2">
        <v>11.6</v>
      </c>
      <c r="Z60" s="2">
        <v>2.67</v>
      </c>
      <c r="AA60" s="2">
        <v>4.38</v>
      </c>
      <c r="AB60" s="2">
        <v>21.2</v>
      </c>
      <c r="AC60" s="2">
        <v>135</v>
      </c>
      <c r="AD60" s="2">
        <v>137</v>
      </c>
      <c r="AE60" s="2">
        <v>84.4</v>
      </c>
      <c r="AF60" s="2">
        <v>389</v>
      </c>
      <c r="AG60" s="2">
        <v>175</v>
      </c>
      <c r="AH60" s="2">
        <v>3.95</v>
      </c>
      <c r="AI60" s="2">
        <v>1.48</v>
      </c>
      <c r="AJ60" s="2">
        <v>38.4</v>
      </c>
      <c r="AK60" s="2">
        <v>0.75</v>
      </c>
      <c r="AL60" s="2">
        <v>52.7</v>
      </c>
      <c r="AM60" s="2">
        <v>10.8</v>
      </c>
      <c r="AN60" s="2">
        <v>1.1499999999999999</v>
      </c>
      <c r="AO60" s="2">
        <v>0.6</v>
      </c>
      <c r="AP60" s="4">
        <v>3983.02</v>
      </c>
      <c r="AQ60" s="4">
        <v>873.24</v>
      </c>
      <c r="AR60" s="4">
        <v>13908.39</v>
      </c>
      <c r="AS60" s="2">
        <v>15.8</v>
      </c>
      <c r="AT60" s="2">
        <v>35.700000000000003</v>
      </c>
      <c r="AU60" s="2">
        <v>4.87</v>
      </c>
      <c r="AV60" s="2">
        <v>21.4</v>
      </c>
      <c r="AW60" s="2">
        <v>5.32</v>
      </c>
      <c r="AX60" s="2">
        <v>1.75</v>
      </c>
      <c r="AY60" s="2">
        <v>5.99</v>
      </c>
      <c r="AZ60" s="2">
        <v>0.98</v>
      </c>
      <c r="BA60" s="2">
        <v>6.21</v>
      </c>
      <c r="BB60" s="2">
        <v>1.22</v>
      </c>
      <c r="BC60" s="2">
        <v>3.4</v>
      </c>
      <c r="BD60" s="2">
        <v>0.5</v>
      </c>
      <c r="BE60" s="2">
        <v>3.02</v>
      </c>
      <c r="BF60" s="2">
        <v>0.43</v>
      </c>
      <c r="BG60" s="5" t="s">
        <v>39</v>
      </c>
    </row>
    <row r="61" spans="1:59" ht="15.75" x14ac:dyDescent="0.15">
      <c r="A61" s="2" t="s">
        <v>63</v>
      </c>
      <c r="B61" s="1" t="s">
        <v>174</v>
      </c>
      <c r="C61" s="1">
        <v>1320</v>
      </c>
      <c r="D61" s="2">
        <v>47.36</v>
      </c>
      <c r="E61" s="2">
        <v>1.76</v>
      </c>
      <c r="F61" s="2">
        <v>15.29</v>
      </c>
      <c r="G61" s="2">
        <v>14.8</v>
      </c>
      <c r="H61" s="2">
        <v>0.17</v>
      </c>
      <c r="I61" s="2">
        <v>6.75</v>
      </c>
      <c r="J61" s="2">
        <v>9.26</v>
      </c>
      <c r="K61" s="2">
        <v>1.77</v>
      </c>
      <c r="L61" s="2">
        <v>0.48</v>
      </c>
      <c r="M61" s="2">
        <v>0.14000000000000001</v>
      </c>
      <c r="N61" s="2">
        <v>2.19</v>
      </c>
      <c r="O61" s="2">
        <v>99.97</v>
      </c>
      <c r="P61" s="2"/>
      <c r="Q61" s="2">
        <f t="shared" si="0"/>
        <v>2.25</v>
      </c>
      <c r="R61" s="2">
        <v>0.75</v>
      </c>
      <c r="S61" s="2">
        <v>47.46</v>
      </c>
      <c r="T61" s="2">
        <v>122</v>
      </c>
      <c r="U61" s="2">
        <v>14.6</v>
      </c>
      <c r="V61" s="2">
        <v>288</v>
      </c>
      <c r="W61" s="2">
        <v>24.7</v>
      </c>
      <c r="X61" s="2">
        <v>104</v>
      </c>
      <c r="Y61" s="2">
        <v>8.36</v>
      </c>
      <c r="Z61" s="2">
        <v>1.93</v>
      </c>
      <c r="AA61" s="2">
        <v>3.17</v>
      </c>
      <c r="AB61" s="2">
        <v>21</v>
      </c>
      <c r="AC61" s="2">
        <v>111</v>
      </c>
      <c r="AD61" s="2">
        <v>99</v>
      </c>
      <c r="AE61" s="2">
        <v>159</v>
      </c>
      <c r="AF61" s="2">
        <v>340</v>
      </c>
      <c r="AG61" s="2">
        <v>97.4</v>
      </c>
      <c r="AH61" s="2">
        <v>2.74</v>
      </c>
      <c r="AI61" s="2">
        <v>1.06</v>
      </c>
      <c r="AJ61" s="2">
        <v>31.5</v>
      </c>
      <c r="AK61" s="2">
        <v>0.53</v>
      </c>
      <c r="AL61" s="2">
        <v>63.2</v>
      </c>
      <c r="AM61" s="2">
        <v>11.7</v>
      </c>
      <c r="AN61" s="2">
        <v>0.75</v>
      </c>
      <c r="AO61" s="2">
        <v>0.4</v>
      </c>
      <c r="AP61" s="4">
        <v>3983.02</v>
      </c>
      <c r="AQ61" s="4">
        <v>611.27</v>
      </c>
      <c r="AR61" s="4">
        <v>10551.19</v>
      </c>
      <c r="AS61" s="2">
        <v>10.8</v>
      </c>
      <c r="AT61" s="2">
        <v>26.4</v>
      </c>
      <c r="AU61" s="2">
        <v>3.52</v>
      </c>
      <c r="AV61" s="2">
        <v>15.7</v>
      </c>
      <c r="AW61" s="2">
        <v>4.08</v>
      </c>
      <c r="AX61" s="2">
        <v>1.36</v>
      </c>
      <c r="AY61" s="2">
        <v>4.55</v>
      </c>
      <c r="AZ61" s="2">
        <v>0.74</v>
      </c>
      <c r="BA61" s="2">
        <v>4.5199999999999996</v>
      </c>
      <c r="BB61" s="2">
        <v>0.9</v>
      </c>
      <c r="BC61" s="2">
        <v>2.4300000000000002</v>
      </c>
      <c r="BD61" s="2">
        <v>0.36</v>
      </c>
      <c r="BE61" s="2">
        <v>2.34</v>
      </c>
      <c r="BF61" s="2">
        <v>0.34</v>
      </c>
      <c r="BG61" s="5" t="s">
        <v>39</v>
      </c>
    </row>
    <row r="62" spans="1:59" ht="15.75" x14ac:dyDescent="0.15">
      <c r="A62" s="2" t="s">
        <v>64</v>
      </c>
      <c r="B62" s="1" t="s">
        <v>174</v>
      </c>
      <c r="C62" s="1">
        <v>1320</v>
      </c>
      <c r="D62" s="2">
        <v>48.02</v>
      </c>
      <c r="E62" s="2">
        <v>1.32</v>
      </c>
      <c r="F62" s="2">
        <v>16.37</v>
      </c>
      <c r="G62" s="2">
        <v>12.23</v>
      </c>
      <c r="H62" s="2">
        <v>0.16</v>
      </c>
      <c r="I62" s="2">
        <v>7.97</v>
      </c>
      <c r="J62" s="2">
        <v>8.76</v>
      </c>
      <c r="K62" s="2">
        <v>1.87</v>
      </c>
      <c r="L62" s="2">
        <v>0.85</v>
      </c>
      <c r="M62" s="2">
        <v>0.1</v>
      </c>
      <c r="N62" s="2">
        <v>2.3199999999999998</v>
      </c>
      <c r="O62" s="2">
        <v>99.97</v>
      </c>
      <c r="P62" s="2"/>
      <c r="Q62" s="2">
        <f t="shared" si="0"/>
        <v>2.72</v>
      </c>
      <c r="R62" s="2">
        <v>0.82</v>
      </c>
      <c r="S62" s="2">
        <v>56.37</v>
      </c>
      <c r="T62" s="2">
        <v>98.2</v>
      </c>
      <c r="U62" s="2">
        <v>25.5</v>
      </c>
      <c r="V62" s="2">
        <v>305</v>
      </c>
      <c r="W62" s="2">
        <v>17.8</v>
      </c>
      <c r="X62" s="2">
        <v>77.8</v>
      </c>
      <c r="Y62" s="2">
        <v>6.09</v>
      </c>
      <c r="Z62" s="2">
        <v>1.54</v>
      </c>
      <c r="AA62" s="2">
        <v>3.58</v>
      </c>
      <c r="AB62" s="2">
        <v>20</v>
      </c>
      <c r="AC62" s="2">
        <v>99.6</v>
      </c>
      <c r="AD62" s="2">
        <v>73.900000000000006</v>
      </c>
      <c r="AE62" s="2">
        <v>182</v>
      </c>
      <c r="AF62" s="2">
        <v>270</v>
      </c>
      <c r="AG62" s="2">
        <v>104</v>
      </c>
      <c r="AH62" s="2">
        <v>2.02</v>
      </c>
      <c r="AI62" s="2">
        <v>1.62</v>
      </c>
      <c r="AJ62" s="2">
        <v>27</v>
      </c>
      <c r="AK62" s="2">
        <v>0.4</v>
      </c>
      <c r="AL62" s="2">
        <v>56.2</v>
      </c>
      <c r="AM62" s="2">
        <v>24.4</v>
      </c>
      <c r="AN62" s="2">
        <v>0.62</v>
      </c>
      <c r="AO62" s="2">
        <v>0.34</v>
      </c>
      <c r="AP62" s="4">
        <v>7053.27</v>
      </c>
      <c r="AQ62" s="4">
        <v>436.62</v>
      </c>
      <c r="AR62" s="4">
        <v>7913.39</v>
      </c>
      <c r="AS62" s="2">
        <v>8.5</v>
      </c>
      <c r="AT62" s="2">
        <v>20.100000000000001</v>
      </c>
      <c r="AU62" s="2">
        <v>2.69</v>
      </c>
      <c r="AV62" s="2">
        <v>12</v>
      </c>
      <c r="AW62" s="2">
        <v>3.1</v>
      </c>
      <c r="AX62" s="2">
        <v>1.1499999999999999</v>
      </c>
      <c r="AY62" s="2">
        <v>3.37</v>
      </c>
      <c r="AZ62" s="2">
        <v>0.56000000000000005</v>
      </c>
      <c r="BA62" s="2">
        <v>3.38</v>
      </c>
      <c r="BB62" s="2">
        <v>0.66</v>
      </c>
      <c r="BC62" s="2">
        <v>1.8</v>
      </c>
      <c r="BD62" s="2">
        <v>0.26</v>
      </c>
      <c r="BE62" s="2">
        <v>1.69</v>
      </c>
      <c r="BF62" s="2">
        <v>0.24</v>
      </c>
      <c r="BG62" s="5" t="s">
        <v>39</v>
      </c>
    </row>
    <row r="63" spans="1:59" ht="15.75" x14ac:dyDescent="0.15">
      <c r="A63" s="2" t="s">
        <v>65</v>
      </c>
      <c r="B63" s="1" t="s">
        <v>174</v>
      </c>
      <c r="C63" s="1">
        <v>1320</v>
      </c>
      <c r="D63" s="2">
        <v>48.22</v>
      </c>
      <c r="E63" s="2">
        <v>2.09</v>
      </c>
      <c r="F63" s="2">
        <v>14.23</v>
      </c>
      <c r="G63" s="2">
        <v>15.3</v>
      </c>
      <c r="H63" s="2">
        <v>0.19</v>
      </c>
      <c r="I63" s="2">
        <v>5.86</v>
      </c>
      <c r="J63" s="2">
        <v>8.65</v>
      </c>
      <c r="K63" s="2">
        <v>2.11</v>
      </c>
      <c r="L63" s="2">
        <v>0.98</v>
      </c>
      <c r="M63" s="2">
        <v>0.18</v>
      </c>
      <c r="N63" s="2">
        <v>2.16</v>
      </c>
      <c r="O63" s="2">
        <v>99.97</v>
      </c>
      <c r="P63" s="2"/>
      <c r="Q63" s="2">
        <f t="shared" si="0"/>
        <v>3.09</v>
      </c>
      <c r="R63" s="2">
        <v>0.7</v>
      </c>
      <c r="S63" s="2">
        <v>43.14</v>
      </c>
      <c r="T63" s="2">
        <v>173</v>
      </c>
      <c r="U63" s="2">
        <v>33.200000000000003</v>
      </c>
      <c r="V63" s="2">
        <v>284</v>
      </c>
      <c r="W63" s="2">
        <v>29.4</v>
      </c>
      <c r="X63" s="2">
        <v>127</v>
      </c>
      <c r="Y63" s="2">
        <v>10.199999999999999</v>
      </c>
      <c r="Z63" s="2">
        <v>2.39</v>
      </c>
      <c r="AA63" s="2">
        <v>6.79</v>
      </c>
      <c r="AB63" s="2">
        <v>20.7</v>
      </c>
      <c r="AC63" s="2">
        <v>124</v>
      </c>
      <c r="AD63" s="2">
        <v>113</v>
      </c>
      <c r="AE63" s="2">
        <v>114</v>
      </c>
      <c r="AF63" s="2">
        <v>379</v>
      </c>
      <c r="AG63" s="2">
        <v>94.5</v>
      </c>
      <c r="AH63" s="2">
        <v>3.32</v>
      </c>
      <c r="AI63" s="2">
        <v>1.75</v>
      </c>
      <c r="AJ63" s="2">
        <v>34.6</v>
      </c>
      <c r="AK63" s="2">
        <v>0.64</v>
      </c>
      <c r="AL63" s="2">
        <v>53.2</v>
      </c>
      <c r="AM63" s="2">
        <v>17.8</v>
      </c>
      <c r="AN63" s="2">
        <v>0.84</v>
      </c>
      <c r="AO63" s="2">
        <v>0.5</v>
      </c>
      <c r="AP63" s="4">
        <v>8132</v>
      </c>
      <c r="AQ63" s="4">
        <v>785.92</v>
      </c>
      <c r="AR63" s="4">
        <v>12529.54</v>
      </c>
      <c r="AS63" s="2">
        <v>13.4</v>
      </c>
      <c r="AT63" s="2">
        <v>32</v>
      </c>
      <c r="AU63" s="2">
        <v>4.3</v>
      </c>
      <c r="AV63" s="2">
        <v>19.600000000000001</v>
      </c>
      <c r="AW63" s="2">
        <v>4.88</v>
      </c>
      <c r="AX63" s="2">
        <v>1.62</v>
      </c>
      <c r="AY63" s="2">
        <v>5.51</v>
      </c>
      <c r="AZ63" s="2">
        <v>0.88</v>
      </c>
      <c r="BA63" s="2">
        <v>5.58</v>
      </c>
      <c r="BB63" s="2">
        <v>1.1000000000000001</v>
      </c>
      <c r="BC63" s="2">
        <v>3.06</v>
      </c>
      <c r="BD63" s="2">
        <v>0.43</v>
      </c>
      <c r="BE63" s="2">
        <v>2.72</v>
      </c>
      <c r="BF63" s="2">
        <v>0.39</v>
      </c>
      <c r="BG63" s="5" t="s">
        <v>39</v>
      </c>
    </row>
    <row r="64" spans="1:59" ht="15.75" x14ac:dyDescent="0.15">
      <c r="A64" s="2" t="s">
        <v>66</v>
      </c>
      <c r="B64" s="1" t="s">
        <v>174</v>
      </c>
      <c r="C64" s="1">
        <v>1320</v>
      </c>
      <c r="D64" s="2">
        <v>49.86</v>
      </c>
      <c r="E64" s="2">
        <v>2.62</v>
      </c>
      <c r="F64" s="2">
        <v>14.98</v>
      </c>
      <c r="G64" s="2">
        <v>13.93</v>
      </c>
      <c r="H64" s="2">
        <v>0.36</v>
      </c>
      <c r="I64" s="2">
        <v>3.45</v>
      </c>
      <c r="J64" s="2">
        <v>3.53</v>
      </c>
      <c r="K64" s="2">
        <v>1.07</v>
      </c>
      <c r="L64" s="2">
        <v>0.47</v>
      </c>
      <c r="M64" s="2">
        <v>0.24</v>
      </c>
      <c r="N64" s="2">
        <v>9.4600000000000009</v>
      </c>
      <c r="O64" s="2">
        <v>99.97</v>
      </c>
      <c r="P64" s="2"/>
      <c r="Q64" s="2">
        <f t="shared" si="0"/>
        <v>1.54</v>
      </c>
      <c r="R64" s="2">
        <v>1.72</v>
      </c>
      <c r="S64" s="2">
        <v>32.93</v>
      </c>
      <c r="T64" s="2">
        <v>216</v>
      </c>
      <c r="U64" s="2">
        <v>24.6</v>
      </c>
      <c r="V64" s="2">
        <v>161</v>
      </c>
      <c r="W64" s="2">
        <v>30.7</v>
      </c>
      <c r="X64" s="2">
        <v>153</v>
      </c>
      <c r="Y64" s="2">
        <v>11.7</v>
      </c>
      <c r="Z64" s="2">
        <v>4.01</v>
      </c>
      <c r="AA64" s="2">
        <v>3.03</v>
      </c>
      <c r="AB64" s="2">
        <v>23.4</v>
      </c>
      <c r="AC64" s="2">
        <v>127</v>
      </c>
      <c r="AD64" s="2">
        <v>38.9</v>
      </c>
      <c r="AE64" s="2">
        <v>48.4</v>
      </c>
      <c r="AF64" s="2">
        <v>343</v>
      </c>
      <c r="AG64" s="2">
        <v>83.9</v>
      </c>
      <c r="AH64" s="2">
        <v>4.07</v>
      </c>
      <c r="AI64" s="2">
        <v>3.27</v>
      </c>
      <c r="AJ64" s="2">
        <v>37.799999999999997</v>
      </c>
      <c r="AK64" s="2">
        <v>0.78</v>
      </c>
      <c r="AL64" s="2">
        <v>56.9</v>
      </c>
      <c r="AM64" s="2">
        <v>25</v>
      </c>
      <c r="AN64" s="2">
        <v>1.1499999999999999</v>
      </c>
      <c r="AO64" s="2">
        <v>1.02</v>
      </c>
      <c r="AP64" s="4">
        <v>3900.04</v>
      </c>
      <c r="AQ64" s="4">
        <v>1047.8900000000001</v>
      </c>
      <c r="AR64" s="4">
        <v>15706.88</v>
      </c>
      <c r="AS64" s="2">
        <v>20.6</v>
      </c>
      <c r="AT64" s="2">
        <v>40.299999999999997</v>
      </c>
      <c r="AU64" s="2">
        <v>5.64</v>
      </c>
      <c r="AV64" s="2">
        <v>24.6</v>
      </c>
      <c r="AW64" s="2">
        <v>5.82</v>
      </c>
      <c r="AX64" s="2">
        <v>2.0499999999999998</v>
      </c>
      <c r="AY64" s="2">
        <v>6.08</v>
      </c>
      <c r="AZ64" s="2">
        <v>0.95</v>
      </c>
      <c r="BA64" s="2">
        <v>5.76</v>
      </c>
      <c r="BB64" s="2">
        <v>1.1399999999999999</v>
      </c>
      <c r="BC64" s="2">
        <v>3.08</v>
      </c>
      <c r="BD64" s="2">
        <v>0.45</v>
      </c>
      <c r="BE64" s="2">
        <v>2.76</v>
      </c>
      <c r="BF64" s="2">
        <v>0.39</v>
      </c>
      <c r="BG64" s="5" t="s">
        <v>39</v>
      </c>
    </row>
    <row r="65" spans="1:59" ht="15.75" x14ac:dyDescent="0.15">
      <c r="A65" s="2" t="s">
        <v>67</v>
      </c>
      <c r="B65" s="1" t="s">
        <v>174</v>
      </c>
      <c r="C65" s="1">
        <v>1320</v>
      </c>
      <c r="D65" s="2">
        <v>47.67</v>
      </c>
      <c r="E65" s="2">
        <v>1.43</v>
      </c>
      <c r="F65" s="2">
        <v>14.8</v>
      </c>
      <c r="G65" s="2">
        <v>13.14</v>
      </c>
      <c r="H65" s="2">
        <v>0.17</v>
      </c>
      <c r="I65" s="2">
        <v>8.3699999999999992</v>
      </c>
      <c r="J65" s="2">
        <v>8.15</v>
      </c>
      <c r="K65" s="2">
        <v>2.2599999999999998</v>
      </c>
      <c r="L65" s="2">
        <v>0.67</v>
      </c>
      <c r="M65" s="2">
        <v>0.12</v>
      </c>
      <c r="N65" s="2">
        <v>3.14</v>
      </c>
      <c r="O65" s="2">
        <v>99.92</v>
      </c>
      <c r="P65" s="2"/>
      <c r="Q65" s="2">
        <f t="shared" si="0"/>
        <v>2.9299999999999997</v>
      </c>
      <c r="R65" s="2">
        <v>0.77</v>
      </c>
      <c r="S65" s="2">
        <v>55.8</v>
      </c>
      <c r="T65" s="2">
        <v>156</v>
      </c>
      <c r="U65" s="2">
        <v>20.399999999999999</v>
      </c>
      <c r="V65" s="2">
        <v>302</v>
      </c>
      <c r="W65" s="2">
        <v>20.399999999999999</v>
      </c>
      <c r="X65" s="2">
        <v>86.6</v>
      </c>
      <c r="Y65" s="2">
        <v>6.76</v>
      </c>
      <c r="Z65" s="2">
        <v>1.67</v>
      </c>
      <c r="AA65" s="2">
        <v>4.05</v>
      </c>
      <c r="AB65" s="2">
        <v>19.3</v>
      </c>
      <c r="AC65" s="2">
        <v>99.9</v>
      </c>
      <c r="AD65" s="2">
        <v>84.5</v>
      </c>
      <c r="AE65" s="2">
        <v>205</v>
      </c>
      <c r="AF65" s="2">
        <v>292</v>
      </c>
      <c r="AG65" s="2">
        <v>112</v>
      </c>
      <c r="AH65" s="2">
        <v>2.31</v>
      </c>
      <c r="AI65" s="2">
        <v>0.68</v>
      </c>
      <c r="AJ65" s="2">
        <v>29.9</v>
      </c>
      <c r="AK65" s="2">
        <v>0.43</v>
      </c>
      <c r="AL65" s="2">
        <v>61.6</v>
      </c>
      <c r="AM65" s="2">
        <v>26.7</v>
      </c>
      <c r="AN65" s="2">
        <v>0.59</v>
      </c>
      <c r="AO65" s="2">
        <v>0.37</v>
      </c>
      <c r="AP65" s="4">
        <v>5559.63</v>
      </c>
      <c r="AQ65" s="4">
        <v>523.94000000000005</v>
      </c>
      <c r="AR65" s="4">
        <v>8572.84</v>
      </c>
      <c r="AS65" s="2">
        <v>9.41</v>
      </c>
      <c r="AT65" s="2">
        <v>22.5</v>
      </c>
      <c r="AU65" s="2">
        <v>2.99</v>
      </c>
      <c r="AV65" s="2">
        <v>13.4</v>
      </c>
      <c r="AW65" s="2">
        <v>3.42</v>
      </c>
      <c r="AX65" s="2">
        <v>1.2</v>
      </c>
      <c r="AY65" s="2">
        <v>3.64</v>
      </c>
      <c r="AZ65" s="2">
        <v>0.61</v>
      </c>
      <c r="BA65" s="2">
        <v>3.71</v>
      </c>
      <c r="BB65" s="2">
        <v>0.74</v>
      </c>
      <c r="BC65" s="2">
        <v>2.08</v>
      </c>
      <c r="BD65" s="2">
        <v>0.28000000000000003</v>
      </c>
      <c r="BE65" s="2">
        <v>1.78</v>
      </c>
      <c r="BF65" s="2">
        <v>0.28000000000000003</v>
      </c>
      <c r="BG65" s="5" t="s">
        <v>39</v>
      </c>
    </row>
    <row r="66" spans="1:59" ht="15.75" x14ac:dyDescent="0.15">
      <c r="A66" s="2" t="s">
        <v>68</v>
      </c>
      <c r="B66" s="1" t="s">
        <v>174</v>
      </c>
      <c r="C66" s="1">
        <v>1320</v>
      </c>
      <c r="D66" s="2">
        <v>50.89</v>
      </c>
      <c r="E66" s="2">
        <v>1.91</v>
      </c>
      <c r="F66" s="2">
        <v>14.51</v>
      </c>
      <c r="G66" s="2">
        <v>13.39</v>
      </c>
      <c r="H66" s="2">
        <v>0.18</v>
      </c>
      <c r="I66" s="2">
        <v>4.8899999999999997</v>
      </c>
      <c r="J66" s="2">
        <v>6.6</v>
      </c>
      <c r="K66" s="2">
        <v>3.77</v>
      </c>
      <c r="L66" s="2">
        <v>1.84</v>
      </c>
      <c r="M66" s="2">
        <v>0.17</v>
      </c>
      <c r="N66" s="2">
        <v>1.86</v>
      </c>
      <c r="O66" s="2">
        <v>100.01</v>
      </c>
      <c r="P66" s="2"/>
      <c r="Q66" s="2">
        <f t="shared" ref="Q66:Q111" si="1">K66+L66</f>
        <v>5.61</v>
      </c>
      <c r="R66" s="2">
        <v>0.72</v>
      </c>
      <c r="S66" s="2">
        <v>41.98</v>
      </c>
      <c r="T66" s="2">
        <v>254</v>
      </c>
      <c r="U66" s="2">
        <v>59.3</v>
      </c>
      <c r="V66" s="2">
        <v>247</v>
      </c>
      <c r="W66" s="2">
        <v>26.4</v>
      </c>
      <c r="X66" s="2">
        <v>118</v>
      </c>
      <c r="Y66" s="2">
        <v>9.15</v>
      </c>
      <c r="Z66" s="2">
        <v>3.06</v>
      </c>
      <c r="AA66" s="2">
        <v>8.0500000000000007</v>
      </c>
      <c r="AB66" s="2">
        <v>19.8</v>
      </c>
      <c r="AC66" s="2">
        <v>91.7</v>
      </c>
      <c r="AD66" s="2">
        <v>38.4</v>
      </c>
      <c r="AE66" s="2">
        <v>43.3</v>
      </c>
      <c r="AF66" s="2">
        <v>373</v>
      </c>
      <c r="AG66" s="2">
        <v>142</v>
      </c>
      <c r="AH66" s="2">
        <v>3.07</v>
      </c>
      <c r="AI66" s="2">
        <v>1.65</v>
      </c>
      <c r="AJ66" s="2">
        <v>35.4</v>
      </c>
      <c r="AK66" s="2">
        <v>0.6</v>
      </c>
      <c r="AL66" s="2">
        <v>42.8</v>
      </c>
      <c r="AM66" s="2">
        <v>19.3</v>
      </c>
      <c r="AN66" s="2">
        <v>0.89</v>
      </c>
      <c r="AO66" s="2">
        <v>0.65</v>
      </c>
      <c r="AP66" s="4">
        <v>15268.25</v>
      </c>
      <c r="AQ66" s="4">
        <v>742.25</v>
      </c>
      <c r="AR66" s="4">
        <v>11450.44</v>
      </c>
      <c r="AS66" s="2">
        <v>14.1</v>
      </c>
      <c r="AT66" s="2">
        <v>33.5</v>
      </c>
      <c r="AU66" s="2">
        <v>4.3899999999999997</v>
      </c>
      <c r="AV66" s="2">
        <v>18.899999999999999</v>
      </c>
      <c r="AW66" s="2">
        <v>4.71</v>
      </c>
      <c r="AX66" s="2">
        <v>1.53</v>
      </c>
      <c r="AY66" s="2">
        <v>5</v>
      </c>
      <c r="AZ66" s="2">
        <v>0.79</v>
      </c>
      <c r="BA66" s="2">
        <v>4.91</v>
      </c>
      <c r="BB66" s="2">
        <v>0.97</v>
      </c>
      <c r="BC66" s="2">
        <v>2.64</v>
      </c>
      <c r="BD66" s="2">
        <v>0.37</v>
      </c>
      <c r="BE66" s="2">
        <v>2.37</v>
      </c>
      <c r="BF66" s="2">
        <v>0.34</v>
      </c>
      <c r="BG66" s="5" t="s">
        <v>39</v>
      </c>
    </row>
    <row r="67" spans="1:59" ht="15.75" x14ac:dyDescent="0.15">
      <c r="A67" s="2" t="s">
        <v>69</v>
      </c>
      <c r="B67" s="1" t="s">
        <v>174</v>
      </c>
      <c r="C67" s="1">
        <v>1320</v>
      </c>
      <c r="D67" s="2">
        <v>49.48</v>
      </c>
      <c r="E67" s="2">
        <v>1.77</v>
      </c>
      <c r="F67" s="2">
        <v>15.94</v>
      </c>
      <c r="G67" s="2">
        <v>13.22</v>
      </c>
      <c r="H67" s="2">
        <v>0.16</v>
      </c>
      <c r="I67" s="2">
        <v>5.48</v>
      </c>
      <c r="J67" s="2">
        <v>8.84</v>
      </c>
      <c r="K67" s="2">
        <v>2.31</v>
      </c>
      <c r="L67" s="2">
        <v>0.84</v>
      </c>
      <c r="M67" s="2">
        <v>0.15</v>
      </c>
      <c r="N67" s="2">
        <v>1.79</v>
      </c>
      <c r="O67" s="2">
        <v>99.98</v>
      </c>
      <c r="P67" s="2"/>
      <c r="Q67" s="2">
        <f t="shared" si="1"/>
        <v>3.15</v>
      </c>
      <c r="R67" s="2">
        <v>0.77</v>
      </c>
      <c r="S67" s="2">
        <v>45.09</v>
      </c>
      <c r="T67" s="2">
        <v>141</v>
      </c>
      <c r="U67" s="2">
        <v>25.4</v>
      </c>
      <c r="V67" s="2">
        <v>288</v>
      </c>
      <c r="W67" s="2">
        <v>22.8</v>
      </c>
      <c r="X67" s="2">
        <v>102</v>
      </c>
      <c r="Y67" s="2">
        <v>8.1199999999999992</v>
      </c>
      <c r="Z67" s="2">
        <v>2.71</v>
      </c>
      <c r="AA67" s="2">
        <v>3.05</v>
      </c>
      <c r="AB67" s="2">
        <v>21.6</v>
      </c>
      <c r="AC67" s="2">
        <v>82.8</v>
      </c>
      <c r="AD67" s="2">
        <v>34.6</v>
      </c>
      <c r="AE67" s="2">
        <v>68.3</v>
      </c>
      <c r="AF67" s="2">
        <v>309</v>
      </c>
      <c r="AG67" s="2">
        <v>60.3</v>
      </c>
      <c r="AH67" s="2">
        <v>2.81</v>
      </c>
      <c r="AI67" s="2">
        <v>1.33</v>
      </c>
      <c r="AJ67" s="2">
        <v>28</v>
      </c>
      <c r="AK67" s="2">
        <v>0.53</v>
      </c>
      <c r="AL67" s="2">
        <v>46.8</v>
      </c>
      <c r="AM67" s="2">
        <v>16.7</v>
      </c>
      <c r="AN67" s="2">
        <v>0.78</v>
      </c>
      <c r="AO67" s="2">
        <v>0.6</v>
      </c>
      <c r="AP67" s="4">
        <v>6970.29</v>
      </c>
      <c r="AQ67" s="4">
        <v>654.92999999999995</v>
      </c>
      <c r="AR67" s="4">
        <v>10611.14</v>
      </c>
      <c r="AS67" s="2">
        <v>12.8</v>
      </c>
      <c r="AT67" s="2">
        <v>30.2</v>
      </c>
      <c r="AU67" s="2">
        <v>3.91</v>
      </c>
      <c r="AV67" s="2">
        <v>16.8</v>
      </c>
      <c r="AW67" s="2">
        <v>4.17</v>
      </c>
      <c r="AX67" s="2">
        <v>1.43</v>
      </c>
      <c r="AY67" s="2">
        <v>4.2699999999999996</v>
      </c>
      <c r="AZ67" s="2">
        <v>0.7</v>
      </c>
      <c r="BA67" s="2">
        <v>4.2300000000000004</v>
      </c>
      <c r="BB67" s="2">
        <v>0.84</v>
      </c>
      <c r="BC67" s="2">
        <v>2.33</v>
      </c>
      <c r="BD67" s="2">
        <v>0.34</v>
      </c>
      <c r="BE67" s="2">
        <v>2.0499999999999998</v>
      </c>
      <c r="BF67" s="2">
        <v>0.31</v>
      </c>
      <c r="BG67" s="5" t="s">
        <v>39</v>
      </c>
    </row>
    <row r="68" spans="1:59" ht="15.75" x14ac:dyDescent="0.15">
      <c r="A68" s="2" t="s">
        <v>70</v>
      </c>
      <c r="B68" s="1" t="s">
        <v>174</v>
      </c>
      <c r="C68" s="1">
        <v>1320</v>
      </c>
      <c r="D68" s="2">
        <v>53.3</v>
      </c>
      <c r="E68" s="2">
        <v>1.88</v>
      </c>
      <c r="F68" s="2">
        <v>15.49</v>
      </c>
      <c r="G68" s="2">
        <v>12.78</v>
      </c>
      <c r="H68" s="2">
        <v>0.05</v>
      </c>
      <c r="I68" s="2">
        <v>3.28</v>
      </c>
      <c r="J68" s="2">
        <v>1.08</v>
      </c>
      <c r="K68" s="2">
        <v>0.01</v>
      </c>
      <c r="L68" s="2">
        <v>2.85</v>
      </c>
      <c r="M68" s="2">
        <v>0.12</v>
      </c>
      <c r="N68" s="2">
        <v>9.17</v>
      </c>
      <c r="O68" s="2">
        <v>100.01</v>
      </c>
      <c r="P68" s="2"/>
      <c r="Q68" s="2">
        <f t="shared" si="1"/>
        <v>2.86</v>
      </c>
      <c r="R68" s="2">
        <v>3.06</v>
      </c>
      <c r="S68" s="2">
        <v>33.71</v>
      </c>
      <c r="T68" s="2">
        <v>494</v>
      </c>
      <c r="U68" s="2">
        <v>107</v>
      </c>
      <c r="V68" s="2">
        <v>33.6</v>
      </c>
      <c r="W68" s="2">
        <v>42.4</v>
      </c>
      <c r="X68" s="2">
        <v>250</v>
      </c>
      <c r="Y68" s="2">
        <v>15</v>
      </c>
      <c r="Z68" s="2">
        <v>9.5500000000000007</v>
      </c>
      <c r="AA68" s="2">
        <v>9.57</v>
      </c>
      <c r="AB68" s="2">
        <v>29.1</v>
      </c>
      <c r="AC68" s="2">
        <v>143</v>
      </c>
      <c r="AD68" s="2">
        <v>19</v>
      </c>
      <c r="AE68" s="2">
        <v>12</v>
      </c>
      <c r="AF68" s="2">
        <v>252</v>
      </c>
      <c r="AG68" s="2">
        <v>58.3</v>
      </c>
      <c r="AH68" s="2">
        <v>6.81</v>
      </c>
      <c r="AI68" s="2">
        <v>2.42</v>
      </c>
      <c r="AJ68" s="2">
        <v>27.5</v>
      </c>
      <c r="AK68" s="2">
        <v>1.03</v>
      </c>
      <c r="AL68" s="2">
        <v>33</v>
      </c>
      <c r="AM68" s="2">
        <v>59.6</v>
      </c>
      <c r="AN68" s="2">
        <v>0.83</v>
      </c>
      <c r="AO68" s="2">
        <v>2.5</v>
      </c>
      <c r="AP68" s="4">
        <v>23649.19</v>
      </c>
      <c r="AQ68" s="4">
        <v>523.94000000000005</v>
      </c>
      <c r="AR68" s="4">
        <v>11270.59</v>
      </c>
      <c r="AS68" s="2">
        <v>28</v>
      </c>
      <c r="AT68" s="2">
        <v>60.6</v>
      </c>
      <c r="AU68" s="2">
        <v>7.76</v>
      </c>
      <c r="AV68" s="2">
        <v>32.4</v>
      </c>
      <c r="AW68" s="2">
        <v>7.96</v>
      </c>
      <c r="AX68" s="2">
        <v>2.12</v>
      </c>
      <c r="AY68" s="2">
        <v>8.34</v>
      </c>
      <c r="AZ68" s="2">
        <v>1.31</v>
      </c>
      <c r="BA68" s="2">
        <v>8.07</v>
      </c>
      <c r="BB68" s="2">
        <v>1.57</v>
      </c>
      <c r="BC68" s="2">
        <v>4.33</v>
      </c>
      <c r="BD68" s="2">
        <v>0.63</v>
      </c>
      <c r="BE68" s="2">
        <v>3.89</v>
      </c>
      <c r="BF68" s="2">
        <v>0.57999999999999996</v>
      </c>
      <c r="BG68" s="5" t="s">
        <v>39</v>
      </c>
    </row>
    <row r="69" spans="1:59" ht="15.75" x14ac:dyDescent="0.15">
      <c r="A69" s="2" t="s">
        <v>71</v>
      </c>
      <c r="B69" s="1" t="s">
        <v>174</v>
      </c>
      <c r="C69" s="1">
        <v>1320</v>
      </c>
      <c r="D69" s="2">
        <v>53.95</v>
      </c>
      <c r="E69" s="2">
        <v>1.64</v>
      </c>
      <c r="F69" s="2">
        <v>16.350000000000001</v>
      </c>
      <c r="G69" s="2">
        <v>11.18</v>
      </c>
      <c r="H69" s="2">
        <v>0.13</v>
      </c>
      <c r="I69" s="2">
        <v>1.6</v>
      </c>
      <c r="J69" s="2">
        <v>5</v>
      </c>
      <c r="K69" s="2">
        <v>3.07</v>
      </c>
      <c r="L69" s="2">
        <v>1.72</v>
      </c>
      <c r="M69" s="2">
        <v>0.26</v>
      </c>
      <c r="N69" s="2">
        <v>5.08</v>
      </c>
      <c r="O69" s="2">
        <v>99.98</v>
      </c>
      <c r="P69" s="2"/>
      <c r="Q69" s="2">
        <f t="shared" si="1"/>
        <v>4.79</v>
      </c>
      <c r="R69" s="2">
        <v>1.02</v>
      </c>
      <c r="S69" s="2">
        <v>22.09</v>
      </c>
      <c r="T69" s="2">
        <v>401</v>
      </c>
      <c r="U69" s="2">
        <v>72.3</v>
      </c>
      <c r="V69" s="2">
        <v>152</v>
      </c>
      <c r="W69" s="2">
        <v>36.1</v>
      </c>
      <c r="X69" s="2">
        <v>197</v>
      </c>
      <c r="Y69" s="2">
        <v>11.2</v>
      </c>
      <c r="Z69" s="2">
        <v>6.36</v>
      </c>
      <c r="AA69" s="2">
        <v>5.52</v>
      </c>
      <c r="AB69" s="2">
        <v>28.7</v>
      </c>
      <c r="AC69" s="2">
        <v>56.6</v>
      </c>
      <c r="AD69" s="2">
        <v>16.5</v>
      </c>
      <c r="AE69" s="2">
        <v>6.14</v>
      </c>
      <c r="AF69" s="2">
        <v>138</v>
      </c>
      <c r="AG69" s="2">
        <v>3.64</v>
      </c>
      <c r="AH69" s="2">
        <v>5.28</v>
      </c>
      <c r="AI69" s="2">
        <v>1.51</v>
      </c>
      <c r="AJ69" s="2">
        <v>17.399999999999999</v>
      </c>
      <c r="AK69" s="2">
        <v>0.74</v>
      </c>
      <c r="AL69" s="2">
        <v>21.1</v>
      </c>
      <c r="AM69" s="2">
        <v>36.700000000000003</v>
      </c>
      <c r="AN69" s="2">
        <v>1.53</v>
      </c>
      <c r="AO69" s="2">
        <v>1.03</v>
      </c>
      <c r="AP69" s="4">
        <v>14272.5</v>
      </c>
      <c r="AQ69" s="4">
        <v>1135.21</v>
      </c>
      <c r="AR69" s="4">
        <v>9831.7900000000009</v>
      </c>
      <c r="AS69" s="2">
        <v>22.9</v>
      </c>
      <c r="AT69" s="2">
        <v>49.2</v>
      </c>
      <c r="AU69" s="2">
        <v>6.76</v>
      </c>
      <c r="AV69" s="2">
        <v>29.3</v>
      </c>
      <c r="AW69" s="2">
        <v>7.53</v>
      </c>
      <c r="AX69" s="2">
        <v>2.2999999999999998</v>
      </c>
      <c r="AY69" s="2">
        <v>7.76</v>
      </c>
      <c r="AZ69" s="2">
        <v>1.21</v>
      </c>
      <c r="BA69" s="2">
        <v>7.08</v>
      </c>
      <c r="BB69" s="2">
        <v>1.33</v>
      </c>
      <c r="BC69" s="2">
        <v>3.54</v>
      </c>
      <c r="BD69" s="2">
        <v>0.49</v>
      </c>
      <c r="BE69" s="2">
        <v>2.9</v>
      </c>
      <c r="BF69" s="2">
        <v>0.41</v>
      </c>
      <c r="BG69" s="5" t="s">
        <v>39</v>
      </c>
    </row>
    <row r="70" spans="1:59" ht="15.75" x14ac:dyDescent="0.15">
      <c r="A70" s="2" t="s">
        <v>72</v>
      </c>
      <c r="B70" s="1" t="s">
        <v>174</v>
      </c>
      <c r="C70" s="1">
        <v>1320</v>
      </c>
      <c r="D70" s="2">
        <v>49.87</v>
      </c>
      <c r="E70" s="2">
        <v>2.4900000000000002</v>
      </c>
      <c r="F70" s="2">
        <v>12.72</v>
      </c>
      <c r="G70" s="2">
        <v>15.12</v>
      </c>
      <c r="H70" s="2">
        <v>0.2</v>
      </c>
      <c r="I70" s="2">
        <v>5.2</v>
      </c>
      <c r="J70" s="2">
        <v>9.14</v>
      </c>
      <c r="K70" s="2">
        <v>1.84</v>
      </c>
      <c r="L70" s="2">
        <v>0.73</v>
      </c>
      <c r="M70" s="2">
        <v>0.21</v>
      </c>
      <c r="N70" s="2">
        <v>2.4700000000000002</v>
      </c>
      <c r="O70" s="2">
        <v>99.99</v>
      </c>
      <c r="P70" s="2"/>
      <c r="Q70" s="2">
        <f t="shared" si="1"/>
        <v>2.5700000000000003</v>
      </c>
      <c r="R70" s="2">
        <v>0.62</v>
      </c>
      <c r="S70" s="2">
        <v>40.54</v>
      </c>
      <c r="T70" s="2">
        <v>191</v>
      </c>
      <c r="U70" s="2">
        <v>23.7</v>
      </c>
      <c r="V70" s="2">
        <v>171</v>
      </c>
      <c r="W70" s="2">
        <v>32.700000000000003</v>
      </c>
      <c r="X70" s="2">
        <v>163</v>
      </c>
      <c r="Y70" s="2">
        <v>12.6</v>
      </c>
      <c r="Z70" s="2">
        <v>3.03</v>
      </c>
      <c r="AA70" s="2">
        <v>4.17</v>
      </c>
      <c r="AB70" s="2">
        <v>21.5</v>
      </c>
      <c r="AC70" s="2">
        <v>123</v>
      </c>
      <c r="AD70" s="2">
        <v>146</v>
      </c>
      <c r="AE70" s="2">
        <v>45.2</v>
      </c>
      <c r="AF70" s="2">
        <v>434</v>
      </c>
      <c r="AG70" s="2">
        <v>90.4</v>
      </c>
      <c r="AH70" s="2">
        <v>4.34</v>
      </c>
      <c r="AI70" s="2">
        <v>0.77</v>
      </c>
      <c r="AJ70" s="2">
        <v>43.6</v>
      </c>
      <c r="AK70" s="2">
        <v>0.8</v>
      </c>
      <c r="AL70" s="2">
        <v>45.7</v>
      </c>
      <c r="AM70" s="2">
        <v>13.3</v>
      </c>
      <c r="AN70" s="2">
        <v>0.91</v>
      </c>
      <c r="AO70" s="2">
        <v>0.56000000000000005</v>
      </c>
      <c r="AP70" s="4">
        <v>6057.51</v>
      </c>
      <c r="AQ70" s="4">
        <v>916.9</v>
      </c>
      <c r="AR70" s="4">
        <v>14927.53</v>
      </c>
      <c r="AS70" s="2">
        <v>14.9</v>
      </c>
      <c r="AT70" s="2">
        <v>36.5</v>
      </c>
      <c r="AU70" s="2">
        <v>4.96</v>
      </c>
      <c r="AV70" s="2">
        <v>22</v>
      </c>
      <c r="AW70" s="2">
        <v>5.8</v>
      </c>
      <c r="AX70" s="2">
        <v>1.74</v>
      </c>
      <c r="AY70" s="2">
        <v>6.17</v>
      </c>
      <c r="AZ70" s="2">
        <v>1.01</v>
      </c>
      <c r="BA70" s="2">
        <v>6.34</v>
      </c>
      <c r="BB70" s="2">
        <v>1.24</v>
      </c>
      <c r="BC70" s="2">
        <v>3.43</v>
      </c>
      <c r="BD70" s="2">
        <v>0.49</v>
      </c>
      <c r="BE70" s="2">
        <v>3.02</v>
      </c>
      <c r="BF70" s="2">
        <v>0.45</v>
      </c>
      <c r="BG70" s="5" t="s">
        <v>39</v>
      </c>
    </row>
    <row r="71" spans="1:59" ht="15.75" x14ac:dyDescent="0.15">
      <c r="A71" s="2" t="s">
        <v>73</v>
      </c>
      <c r="B71" s="1" t="s">
        <v>174</v>
      </c>
      <c r="C71" s="1">
        <v>1320</v>
      </c>
      <c r="D71" s="2">
        <v>50.71</v>
      </c>
      <c r="E71" s="2">
        <v>2.14</v>
      </c>
      <c r="F71" s="2">
        <v>13.77</v>
      </c>
      <c r="G71" s="2">
        <v>13</v>
      </c>
      <c r="H71" s="2">
        <v>0.16</v>
      </c>
      <c r="I71" s="2">
        <v>5.62</v>
      </c>
      <c r="J71" s="2">
        <v>9.34</v>
      </c>
      <c r="K71" s="2">
        <v>1.8</v>
      </c>
      <c r="L71" s="2">
        <v>0.67</v>
      </c>
      <c r="M71" s="2">
        <v>0.17</v>
      </c>
      <c r="N71" s="2">
        <v>2.58</v>
      </c>
      <c r="O71" s="2">
        <v>99.96</v>
      </c>
      <c r="P71" s="2"/>
      <c r="Q71" s="2">
        <f t="shared" si="1"/>
        <v>2.4700000000000002</v>
      </c>
      <c r="R71" s="2">
        <v>0.67</v>
      </c>
      <c r="S71" s="2">
        <v>46.13</v>
      </c>
      <c r="T71" s="2">
        <v>303</v>
      </c>
      <c r="U71" s="2">
        <v>24.4</v>
      </c>
      <c r="V71" s="2">
        <v>198</v>
      </c>
      <c r="W71" s="2">
        <v>31.3</v>
      </c>
      <c r="X71" s="2">
        <v>141</v>
      </c>
      <c r="Y71" s="2">
        <v>10.8</v>
      </c>
      <c r="Z71" s="2">
        <v>2.85</v>
      </c>
      <c r="AA71" s="2">
        <v>3.56</v>
      </c>
      <c r="AB71" s="2">
        <v>22.7</v>
      </c>
      <c r="AC71" s="2">
        <v>121</v>
      </c>
      <c r="AD71" s="2">
        <v>121</v>
      </c>
      <c r="AE71" s="2">
        <v>60.6</v>
      </c>
      <c r="AF71" s="2">
        <v>435</v>
      </c>
      <c r="AG71" s="2">
        <v>174</v>
      </c>
      <c r="AH71" s="2">
        <v>3.67</v>
      </c>
      <c r="AI71" s="2">
        <v>1.83</v>
      </c>
      <c r="AJ71" s="2">
        <v>45.1</v>
      </c>
      <c r="AK71" s="2">
        <v>0.69</v>
      </c>
      <c r="AL71" s="2">
        <v>49.1</v>
      </c>
      <c r="AM71" s="2">
        <v>12.8</v>
      </c>
      <c r="AN71" s="2">
        <v>0.99</v>
      </c>
      <c r="AO71" s="2">
        <v>0.62</v>
      </c>
      <c r="AP71" s="4">
        <v>5559.63</v>
      </c>
      <c r="AQ71" s="4">
        <v>742.25</v>
      </c>
      <c r="AR71" s="4">
        <v>12829.29</v>
      </c>
      <c r="AS71" s="2">
        <v>14.3</v>
      </c>
      <c r="AT71" s="2">
        <v>34.799999999999997</v>
      </c>
      <c r="AU71" s="2">
        <v>4.59</v>
      </c>
      <c r="AV71" s="2">
        <v>20.5</v>
      </c>
      <c r="AW71" s="2">
        <v>5.26</v>
      </c>
      <c r="AX71" s="2">
        <v>1.69</v>
      </c>
      <c r="AY71" s="2">
        <v>5.64</v>
      </c>
      <c r="AZ71" s="2">
        <v>0.93</v>
      </c>
      <c r="BA71" s="2">
        <v>5.7</v>
      </c>
      <c r="BB71" s="2">
        <v>1.1299999999999999</v>
      </c>
      <c r="BC71" s="2">
        <v>3.11</v>
      </c>
      <c r="BD71" s="2">
        <v>0.44</v>
      </c>
      <c r="BE71" s="2">
        <v>2.76</v>
      </c>
      <c r="BF71" s="2">
        <v>0.41</v>
      </c>
      <c r="BG71" s="5" t="s">
        <v>39</v>
      </c>
    </row>
    <row r="72" spans="1:59" ht="15.75" x14ac:dyDescent="0.15">
      <c r="A72" s="2" t="s">
        <v>74</v>
      </c>
      <c r="B72" s="1" t="s">
        <v>174</v>
      </c>
      <c r="C72" s="1">
        <v>1320</v>
      </c>
      <c r="D72" s="2">
        <v>51.2</v>
      </c>
      <c r="E72" s="2">
        <v>2.11</v>
      </c>
      <c r="F72" s="2">
        <v>13.38</v>
      </c>
      <c r="G72" s="2">
        <v>12.76</v>
      </c>
      <c r="H72" s="2">
        <v>0.18</v>
      </c>
      <c r="I72" s="2">
        <v>5.42</v>
      </c>
      <c r="J72" s="2">
        <v>8.98</v>
      </c>
      <c r="K72" s="2">
        <v>1.79</v>
      </c>
      <c r="L72" s="2">
        <v>0.51</v>
      </c>
      <c r="M72" s="2">
        <v>0.15</v>
      </c>
      <c r="N72" s="2">
        <v>3.5</v>
      </c>
      <c r="O72" s="2">
        <v>99.98</v>
      </c>
      <c r="P72" s="2"/>
      <c r="Q72" s="2">
        <f t="shared" si="1"/>
        <v>2.2999999999999998</v>
      </c>
      <c r="R72" s="2">
        <v>0.67</v>
      </c>
      <c r="S72" s="2">
        <v>45.7</v>
      </c>
      <c r="T72" s="2">
        <v>139</v>
      </c>
      <c r="U72" s="2">
        <v>17.2</v>
      </c>
      <c r="V72" s="2">
        <v>203</v>
      </c>
      <c r="W72" s="2">
        <v>25.2</v>
      </c>
      <c r="X72" s="2">
        <v>113</v>
      </c>
      <c r="Y72" s="2">
        <v>8.93</v>
      </c>
      <c r="Z72" s="2">
        <v>2.25</v>
      </c>
      <c r="AA72" s="2">
        <v>3.25</v>
      </c>
      <c r="AB72" s="2">
        <v>19.8</v>
      </c>
      <c r="AC72" s="2">
        <v>108</v>
      </c>
      <c r="AD72" s="2">
        <v>109</v>
      </c>
      <c r="AE72" s="2">
        <v>56.7</v>
      </c>
      <c r="AF72" s="2">
        <v>400</v>
      </c>
      <c r="AG72" s="2">
        <v>163</v>
      </c>
      <c r="AH72" s="2">
        <v>3.02</v>
      </c>
      <c r="AI72" s="2">
        <v>1.29</v>
      </c>
      <c r="AJ72" s="2">
        <v>41.7</v>
      </c>
      <c r="AK72" s="2">
        <v>0.57999999999999996</v>
      </c>
      <c r="AL72" s="2">
        <v>45.5</v>
      </c>
      <c r="AM72" s="2">
        <v>17.899999999999999</v>
      </c>
      <c r="AN72" s="2">
        <v>0.72</v>
      </c>
      <c r="AO72" s="2">
        <v>0.47</v>
      </c>
      <c r="AP72" s="4">
        <v>4231.96</v>
      </c>
      <c r="AQ72" s="4">
        <v>654.92999999999995</v>
      </c>
      <c r="AR72" s="4">
        <v>12649.44</v>
      </c>
      <c r="AS72" s="2">
        <v>11.8</v>
      </c>
      <c r="AT72" s="2">
        <v>28.1</v>
      </c>
      <c r="AU72" s="2">
        <v>3.78</v>
      </c>
      <c r="AV72" s="2">
        <v>16.5</v>
      </c>
      <c r="AW72" s="2">
        <v>4.37</v>
      </c>
      <c r="AX72" s="2">
        <v>1.41</v>
      </c>
      <c r="AY72" s="2">
        <v>4.5599999999999996</v>
      </c>
      <c r="AZ72" s="2">
        <v>0.75</v>
      </c>
      <c r="BA72" s="2">
        <v>4.75</v>
      </c>
      <c r="BB72" s="2">
        <v>0.94</v>
      </c>
      <c r="BC72" s="2">
        <v>2.59</v>
      </c>
      <c r="BD72" s="2">
        <v>0.38</v>
      </c>
      <c r="BE72" s="2">
        <v>2.31</v>
      </c>
      <c r="BF72" s="2">
        <v>0.34</v>
      </c>
      <c r="BG72" s="5" t="s">
        <v>39</v>
      </c>
    </row>
    <row r="73" spans="1:59" ht="15.75" x14ac:dyDescent="0.15">
      <c r="A73" s="2" t="s">
        <v>75</v>
      </c>
      <c r="B73" s="1" t="s">
        <v>174</v>
      </c>
      <c r="C73" s="1">
        <v>1320</v>
      </c>
      <c r="D73" s="2">
        <v>50.35</v>
      </c>
      <c r="E73" s="2">
        <v>2.48</v>
      </c>
      <c r="F73" s="2">
        <v>12.43</v>
      </c>
      <c r="G73" s="2">
        <v>15.69</v>
      </c>
      <c r="H73" s="2">
        <v>0.2</v>
      </c>
      <c r="I73" s="2">
        <v>4.91</v>
      </c>
      <c r="J73" s="2">
        <v>9.09</v>
      </c>
      <c r="K73" s="2">
        <v>1.86</v>
      </c>
      <c r="L73" s="2">
        <v>0.7</v>
      </c>
      <c r="M73" s="2">
        <v>0.2</v>
      </c>
      <c r="N73" s="2">
        <v>2.0499999999999998</v>
      </c>
      <c r="O73" s="2">
        <v>99.96</v>
      </c>
      <c r="P73" s="2"/>
      <c r="Q73" s="2">
        <f t="shared" si="1"/>
        <v>2.56</v>
      </c>
      <c r="R73" s="2">
        <v>0.61</v>
      </c>
      <c r="S73" s="2">
        <v>38.270000000000003</v>
      </c>
      <c r="T73" s="2">
        <v>156</v>
      </c>
      <c r="U73" s="2">
        <v>24.4</v>
      </c>
      <c r="V73" s="2">
        <v>185</v>
      </c>
      <c r="W73" s="2">
        <v>33</v>
      </c>
      <c r="X73" s="2">
        <v>151</v>
      </c>
      <c r="Y73" s="2">
        <v>11.7</v>
      </c>
      <c r="Z73" s="2">
        <v>3.05</v>
      </c>
      <c r="AA73" s="2">
        <v>4.24</v>
      </c>
      <c r="AB73" s="2">
        <v>21.4</v>
      </c>
      <c r="AC73" s="2">
        <v>123</v>
      </c>
      <c r="AD73" s="2">
        <v>128</v>
      </c>
      <c r="AE73" s="2">
        <v>37.799999999999997</v>
      </c>
      <c r="AF73" s="2">
        <v>441</v>
      </c>
      <c r="AG73" s="2">
        <v>39.6</v>
      </c>
      <c r="AH73" s="2">
        <v>4.03</v>
      </c>
      <c r="AI73" s="2">
        <v>1.91</v>
      </c>
      <c r="AJ73" s="2">
        <v>40.299999999999997</v>
      </c>
      <c r="AK73" s="2">
        <v>0.76</v>
      </c>
      <c r="AL73" s="2">
        <v>45.6</v>
      </c>
      <c r="AM73" s="2">
        <v>6.69</v>
      </c>
      <c r="AN73" s="2">
        <v>0.99</v>
      </c>
      <c r="AO73" s="2">
        <v>0.68</v>
      </c>
      <c r="AP73" s="4">
        <v>5808.57</v>
      </c>
      <c r="AQ73" s="4">
        <v>873.24</v>
      </c>
      <c r="AR73" s="4">
        <v>14867.58</v>
      </c>
      <c r="AS73" s="2">
        <v>17.100000000000001</v>
      </c>
      <c r="AT73" s="2">
        <v>38.4</v>
      </c>
      <c r="AU73" s="2">
        <v>5.1100000000000003</v>
      </c>
      <c r="AV73" s="2">
        <v>22.4</v>
      </c>
      <c r="AW73" s="2">
        <v>5.81</v>
      </c>
      <c r="AX73" s="2">
        <v>1.8</v>
      </c>
      <c r="AY73" s="2">
        <v>6.16</v>
      </c>
      <c r="AZ73" s="2">
        <v>1.01</v>
      </c>
      <c r="BA73" s="2">
        <v>6.04</v>
      </c>
      <c r="BB73" s="2">
        <v>1.21</v>
      </c>
      <c r="BC73" s="2">
        <v>3.33</v>
      </c>
      <c r="BD73" s="2">
        <v>0.49</v>
      </c>
      <c r="BE73" s="2">
        <v>3.06</v>
      </c>
      <c r="BF73" s="2">
        <v>0.45</v>
      </c>
      <c r="BG73" s="5" t="s">
        <v>39</v>
      </c>
    </row>
    <row r="74" spans="1:59" ht="15.75" x14ac:dyDescent="0.15">
      <c r="A74" s="2" t="s">
        <v>76</v>
      </c>
      <c r="B74" s="1" t="s">
        <v>174</v>
      </c>
      <c r="C74" s="1">
        <v>1320</v>
      </c>
      <c r="D74" s="2">
        <v>47.68</v>
      </c>
      <c r="E74" s="2">
        <v>1.99</v>
      </c>
      <c r="F74" s="2">
        <v>14.9</v>
      </c>
      <c r="G74" s="2">
        <v>14.72</v>
      </c>
      <c r="H74" s="2">
        <v>0.17</v>
      </c>
      <c r="I74" s="2">
        <v>5.28</v>
      </c>
      <c r="J74" s="2">
        <v>8.19</v>
      </c>
      <c r="K74" s="2">
        <v>1.91</v>
      </c>
      <c r="L74" s="2">
        <v>0.71</v>
      </c>
      <c r="M74" s="2">
        <v>0.18</v>
      </c>
      <c r="N74" s="2">
        <v>4.24</v>
      </c>
      <c r="O74" s="2">
        <v>99.97</v>
      </c>
      <c r="P74" s="2"/>
      <c r="Q74" s="2">
        <f t="shared" si="1"/>
        <v>2.62</v>
      </c>
      <c r="R74" s="2">
        <v>0.79</v>
      </c>
      <c r="S74" s="2">
        <v>41.54</v>
      </c>
      <c r="T74" s="2">
        <v>145</v>
      </c>
      <c r="U74" s="2">
        <v>39.299999999999997</v>
      </c>
      <c r="V74" s="2">
        <v>237</v>
      </c>
      <c r="W74" s="2">
        <v>30.8</v>
      </c>
      <c r="X74" s="2">
        <v>132</v>
      </c>
      <c r="Y74" s="2">
        <v>11.2</v>
      </c>
      <c r="Z74" s="2">
        <v>2.5299999999999998</v>
      </c>
      <c r="AA74" s="2">
        <v>5.55</v>
      </c>
      <c r="AB74" s="2">
        <v>22.1</v>
      </c>
      <c r="AC74" s="2">
        <v>134</v>
      </c>
      <c r="AD74" s="2">
        <v>102</v>
      </c>
      <c r="AE74" s="2">
        <v>123</v>
      </c>
      <c r="AF74" s="2">
        <v>350</v>
      </c>
      <c r="AG74" s="2">
        <v>81.7</v>
      </c>
      <c r="AH74" s="2">
        <v>3.52</v>
      </c>
      <c r="AI74" s="2">
        <v>8.44</v>
      </c>
      <c r="AJ74" s="2">
        <v>32.799999999999997</v>
      </c>
      <c r="AK74" s="2">
        <v>0.71</v>
      </c>
      <c r="AL74" s="2">
        <v>60.9</v>
      </c>
      <c r="AM74" s="2">
        <v>22.4</v>
      </c>
      <c r="AN74" s="2">
        <v>0.87</v>
      </c>
      <c r="AO74" s="2">
        <v>0.4</v>
      </c>
      <c r="AP74" s="4">
        <v>5891.55</v>
      </c>
      <c r="AQ74" s="4">
        <v>785.92</v>
      </c>
      <c r="AR74" s="4">
        <v>11930.04</v>
      </c>
      <c r="AS74" s="2">
        <v>14.2</v>
      </c>
      <c r="AT74" s="2">
        <v>33.5</v>
      </c>
      <c r="AU74" s="2">
        <v>4.59</v>
      </c>
      <c r="AV74" s="2">
        <v>20.2</v>
      </c>
      <c r="AW74" s="2">
        <v>5.28</v>
      </c>
      <c r="AX74" s="2">
        <v>1.69</v>
      </c>
      <c r="AY74" s="2">
        <v>5.52</v>
      </c>
      <c r="AZ74" s="2">
        <v>0.92</v>
      </c>
      <c r="BA74" s="2">
        <v>5.56</v>
      </c>
      <c r="BB74" s="2">
        <v>1.1299999999999999</v>
      </c>
      <c r="BC74" s="2">
        <v>3.09</v>
      </c>
      <c r="BD74" s="2">
        <v>0.46</v>
      </c>
      <c r="BE74" s="2">
        <v>2.75</v>
      </c>
      <c r="BF74" s="2">
        <v>0.42</v>
      </c>
      <c r="BG74" s="5" t="s">
        <v>39</v>
      </c>
    </row>
    <row r="75" spans="1:59" ht="15.75" x14ac:dyDescent="0.15">
      <c r="A75" s="2" t="s">
        <v>77</v>
      </c>
      <c r="B75" s="1" t="s">
        <v>174</v>
      </c>
      <c r="C75" s="1">
        <v>1320</v>
      </c>
      <c r="D75" s="2">
        <v>49.05</v>
      </c>
      <c r="E75" s="2">
        <v>2.1800000000000002</v>
      </c>
      <c r="F75" s="2">
        <v>13.44</v>
      </c>
      <c r="G75" s="2">
        <v>14.61</v>
      </c>
      <c r="H75" s="2">
        <v>0.2</v>
      </c>
      <c r="I75" s="2">
        <v>5.73</v>
      </c>
      <c r="J75" s="2">
        <v>9.84</v>
      </c>
      <c r="K75" s="2">
        <v>1.94</v>
      </c>
      <c r="L75" s="2">
        <v>0.7</v>
      </c>
      <c r="M75" s="2">
        <v>0.19</v>
      </c>
      <c r="N75" s="2">
        <v>2.1</v>
      </c>
      <c r="O75" s="2">
        <v>99.98</v>
      </c>
      <c r="P75" s="2"/>
      <c r="Q75" s="2">
        <f t="shared" si="1"/>
        <v>2.6399999999999997</v>
      </c>
      <c r="R75" s="2">
        <v>0.62</v>
      </c>
      <c r="S75" s="2">
        <v>43.72</v>
      </c>
      <c r="T75" s="2">
        <v>376</v>
      </c>
      <c r="U75" s="2">
        <v>21.3</v>
      </c>
      <c r="V75" s="2">
        <v>173</v>
      </c>
      <c r="W75" s="2">
        <v>31.6</v>
      </c>
      <c r="X75" s="2">
        <v>139</v>
      </c>
      <c r="Y75" s="2">
        <v>10.8</v>
      </c>
      <c r="Z75" s="2">
        <v>2.56</v>
      </c>
      <c r="AA75" s="2">
        <v>3.74</v>
      </c>
      <c r="AB75" s="2">
        <v>20</v>
      </c>
      <c r="AC75" s="2">
        <v>115</v>
      </c>
      <c r="AD75" s="2">
        <v>135</v>
      </c>
      <c r="AE75" s="2">
        <v>66.8</v>
      </c>
      <c r="AF75" s="2">
        <v>391</v>
      </c>
      <c r="AG75" s="2">
        <v>261</v>
      </c>
      <c r="AH75" s="2">
        <v>3.62</v>
      </c>
      <c r="AI75" s="2">
        <v>0.9</v>
      </c>
      <c r="AJ75" s="2">
        <v>39.4</v>
      </c>
      <c r="AK75" s="2">
        <v>0.69</v>
      </c>
      <c r="AL75" s="2">
        <v>47.8</v>
      </c>
      <c r="AM75" s="2">
        <v>13.5</v>
      </c>
      <c r="AN75" s="2">
        <v>0.83</v>
      </c>
      <c r="AO75" s="2">
        <v>0.55000000000000004</v>
      </c>
      <c r="AP75" s="4">
        <v>5808.57</v>
      </c>
      <c r="AQ75" s="4">
        <v>829.58</v>
      </c>
      <c r="AR75" s="4">
        <v>13069.09</v>
      </c>
      <c r="AS75" s="2">
        <v>14</v>
      </c>
      <c r="AT75" s="2">
        <v>33.4</v>
      </c>
      <c r="AU75" s="2">
        <v>4.47</v>
      </c>
      <c r="AV75" s="2">
        <v>19.8</v>
      </c>
      <c r="AW75" s="2">
        <v>5.15</v>
      </c>
      <c r="AX75" s="2">
        <v>1.59</v>
      </c>
      <c r="AY75" s="2">
        <v>5.53</v>
      </c>
      <c r="AZ75" s="2">
        <v>0.93</v>
      </c>
      <c r="BA75" s="2">
        <v>5.63</v>
      </c>
      <c r="BB75" s="2">
        <v>1.1599999999999999</v>
      </c>
      <c r="BC75" s="2">
        <v>3.22</v>
      </c>
      <c r="BD75" s="2">
        <v>0.47</v>
      </c>
      <c r="BE75" s="2">
        <v>2.89</v>
      </c>
      <c r="BF75" s="2">
        <v>0.42</v>
      </c>
      <c r="BG75" s="5" t="s">
        <v>39</v>
      </c>
    </row>
    <row r="76" spans="1:59" ht="15.75" x14ac:dyDescent="0.15">
      <c r="A76" s="2" t="s">
        <v>78</v>
      </c>
      <c r="B76" s="1" t="s">
        <v>174</v>
      </c>
      <c r="C76" s="1">
        <v>1320</v>
      </c>
      <c r="D76" s="2">
        <v>49.95</v>
      </c>
      <c r="E76" s="2">
        <v>1.96</v>
      </c>
      <c r="F76" s="2">
        <v>13.55</v>
      </c>
      <c r="G76" s="2">
        <v>13.53</v>
      </c>
      <c r="H76" s="2">
        <v>0.19</v>
      </c>
      <c r="I76" s="2">
        <v>5.84</v>
      </c>
      <c r="J76" s="2">
        <v>9.6199999999999992</v>
      </c>
      <c r="K76" s="2">
        <v>2.04</v>
      </c>
      <c r="L76" s="2">
        <v>0.73</v>
      </c>
      <c r="M76" s="2">
        <v>0.16</v>
      </c>
      <c r="N76" s="2">
        <v>2.39</v>
      </c>
      <c r="O76" s="2">
        <v>99.96</v>
      </c>
      <c r="P76" s="2"/>
      <c r="Q76" s="2">
        <f t="shared" si="1"/>
        <v>2.77</v>
      </c>
      <c r="R76" s="2">
        <v>0.63</v>
      </c>
      <c r="S76" s="2">
        <v>46.11</v>
      </c>
      <c r="T76" s="2">
        <v>345</v>
      </c>
      <c r="U76" s="2">
        <v>21.3</v>
      </c>
      <c r="V76" s="2">
        <v>213</v>
      </c>
      <c r="W76" s="2">
        <v>26.7</v>
      </c>
      <c r="X76" s="2">
        <v>118</v>
      </c>
      <c r="Y76" s="2">
        <v>9.2200000000000006</v>
      </c>
      <c r="Z76" s="2">
        <v>2.4</v>
      </c>
      <c r="AA76" s="2">
        <v>3.77</v>
      </c>
      <c r="AB76" s="2">
        <v>20.399999999999999</v>
      </c>
      <c r="AC76" s="2">
        <v>112</v>
      </c>
      <c r="AD76" s="2">
        <v>102</v>
      </c>
      <c r="AE76" s="2">
        <v>60.8</v>
      </c>
      <c r="AF76" s="2">
        <v>391</v>
      </c>
      <c r="AG76" s="2">
        <v>170</v>
      </c>
      <c r="AH76" s="2">
        <v>3.12</v>
      </c>
      <c r="AI76" s="2">
        <v>0.97</v>
      </c>
      <c r="AJ76" s="2">
        <v>39.799999999999997</v>
      </c>
      <c r="AK76" s="2">
        <v>0.57999999999999996</v>
      </c>
      <c r="AL76" s="2">
        <v>46.5</v>
      </c>
      <c r="AM76" s="2">
        <v>15.5</v>
      </c>
      <c r="AN76" s="2">
        <v>0.78</v>
      </c>
      <c r="AO76" s="2">
        <v>0.51</v>
      </c>
      <c r="AP76" s="4">
        <v>6057.51</v>
      </c>
      <c r="AQ76" s="4">
        <v>698.59</v>
      </c>
      <c r="AR76" s="4">
        <v>11750.19</v>
      </c>
      <c r="AS76" s="2">
        <v>12.4</v>
      </c>
      <c r="AT76" s="2">
        <v>29.7</v>
      </c>
      <c r="AU76" s="2">
        <v>4.0199999999999996</v>
      </c>
      <c r="AV76" s="2">
        <v>18.100000000000001</v>
      </c>
      <c r="AW76" s="2">
        <v>4.7699999999999996</v>
      </c>
      <c r="AX76" s="2">
        <v>1.55</v>
      </c>
      <c r="AY76" s="2">
        <v>4.99</v>
      </c>
      <c r="AZ76" s="2">
        <v>0.8</v>
      </c>
      <c r="BA76" s="2">
        <v>4.95</v>
      </c>
      <c r="BB76" s="2">
        <v>0.96</v>
      </c>
      <c r="BC76" s="2">
        <v>2.74</v>
      </c>
      <c r="BD76" s="2">
        <v>0.39</v>
      </c>
      <c r="BE76" s="2">
        <v>2.41</v>
      </c>
      <c r="BF76" s="2">
        <v>0.34</v>
      </c>
      <c r="BG76" s="5" t="s">
        <v>39</v>
      </c>
    </row>
    <row r="77" spans="1:59" ht="15.75" x14ac:dyDescent="0.15">
      <c r="A77" s="2" t="s">
        <v>79</v>
      </c>
      <c r="B77" s="1" t="s">
        <v>174</v>
      </c>
      <c r="C77" s="1">
        <v>1320</v>
      </c>
      <c r="D77" s="2">
        <v>48.84</v>
      </c>
      <c r="E77" s="2">
        <v>1.95</v>
      </c>
      <c r="F77" s="2">
        <v>13.66</v>
      </c>
      <c r="G77" s="2">
        <v>13.41</v>
      </c>
      <c r="H77" s="2">
        <v>0.18</v>
      </c>
      <c r="I77" s="2">
        <v>7.27</v>
      </c>
      <c r="J77" s="2">
        <v>10.49</v>
      </c>
      <c r="K77" s="2">
        <v>2.0499999999999998</v>
      </c>
      <c r="L77" s="2">
        <v>0.73</v>
      </c>
      <c r="M77" s="2">
        <v>0.06</v>
      </c>
      <c r="N77" s="2">
        <v>1.35</v>
      </c>
      <c r="O77" s="2">
        <v>99.99</v>
      </c>
      <c r="P77" s="2"/>
      <c r="Q77" s="2">
        <f t="shared" si="1"/>
        <v>2.78</v>
      </c>
      <c r="R77" s="2">
        <v>0.59</v>
      </c>
      <c r="S77" s="2">
        <v>51.78</v>
      </c>
      <c r="T77" s="2">
        <v>145</v>
      </c>
      <c r="U77" s="2">
        <v>25.6</v>
      </c>
      <c r="V77" s="2">
        <v>203</v>
      </c>
      <c r="W77" s="2">
        <v>24.5</v>
      </c>
      <c r="X77" s="2">
        <v>181</v>
      </c>
      <c r="Y77" s="2">
        <v>9.07</v>
      </c>
      <c r="Z77" s="2">
        <v>1.68</v>
      </c>
      <c r="AA77" s="2">
        <v>3.06</v>
      </c>
      <c r="AB77" s="2">
        <v>18.600000000000001</v>
      </c>
      <c r="AC77" s="2">
        <v>112</v>
      </c>
      <c r="AD77" s="2">
        <v>89</v>
      </c>
      <c r="AE77" s="2">
        <v>92.7</v>
      </c>
      <c r="AF77" s="2">
        <v>385</v>
      </c>
      <c r="AG77" s="2">
        <v>511</v>
      </c>
      <c r="AH77" s="2">
        <v>4.6399999999999997</v>
      </c>
      <c r="AI77" s="2">
        <v>0.65</v>
      </c>
      <c r="AJ77" s="2">
        <v>42.4</v>
      </c>
      <c r="AK77" s="2">
        <v>0.77</v>
      </c>
      <c r="AL77" s="2">
        <v>51.6</v>
      </c>
      <c r="AM77" s="2">
        <v>14.5</v>
      </c>
      <c r="AN77" s="2">
        <v>0.42</v>
      </c>
      <c r="AO77" s="2">
        <v>0.36</v>
      </c>
      <c r="AP77" s="4">
        <v>6057.51</v>
      </c>
      <c r="AQ77" s="4">
        <v>261.97000000000003</v>
      </c>
      <c r="AR77" s="4">
        <v>11690.24</v>
      </c>
      <c r="AS77" s="2">
        <v>7.86</v>
      </c>
      <c r="AT77" s="2">
        <v>17.3</v>
      </c>
      <c r="AU77" s="2">
        <v>2.4900000000000002</v>
      </c>
      <c r="AV77" s="2">
        <v>11.7</v>
      </c>
      <c r="AW77" s="2">
        <v>3.3</v>
      </c>
      <c r="AX77" s="2">
        <v>1.43</v>
      </c>
      <c r="AY77" s="2">
        <v>3.69</v>
      </c>
      <c r="AZ77" s="2">
        <v>0.81</v>
      </c>
      <c r="BA77" s="2">
        <v>4.32</v>
      </c>
      <c r="BB77" s="2">
        <v>0.85</v>
      </c>
      <c r="BC77" s="2">
        <v>2.67</v>
      </c>
      <c r="BD77" s="2">
        <v>0.43</v>
      </c>
      <c r="BE77" s="2">
        <v>2.93</v>
      </c>
      <c r="BF77" s="2">
        <v>0.43</v>
      </c>
      <c r="BG77" s="5" t="s">
        <v>80</v>
      </c>
    </row>
    <row r="78" spans="1:59" ht="15.75" x14ac:dyDescent="0.15">
      <c r="A78" s="2" t="s">
        <v>81</v>
      </c>
      <c r="B78" s="1" t="s">
        <v>174</v>
      </c>
      <c r="C78" s="1">
        <v>1320</v>
      </c>
      <c r="D78" s="2">
        <v>49.94</v>
      </c>
      <c r="E78" s="2">
        <v>1.61</v>
      </c>
      <c r="F78" s="2">
        <v>15.34</v>
      </c>
      <c r="G78" s="2">
        <v>12.43</v>
      </c>
      <c r="H78" s="2">
        <v>0.17</v>
      </c>
      <c r="I78" s="2">
        <v>6.11</v>
      </c>
      <c r="J78" s="2">
        <v>11.47</v>
      </c>
      <c r="K78" s="2">
        <v>1.88</v>
      </c>
      <c r="L78" s="2">
        <v>0.38</v>
      </c>
      <c r="M78" s="2">
        <v>0.14000000000000001</v>
      </c>
      <c r="N78" s="2">
        <v>0.25</v>
      </c>
      <c r="O78" s="2">
        <v>99.72</v>
      </c>
      <c r="P78" s="2"/>
      <c r="Q78" s="2">
        <f t="shared" si="1"/>
        <v>2.2599999999999998</v>
      </c>
      <c r="R78" s="2">
        <v>0.63</v>
      </c>
      <c r="S78" s="2">
        <v>49.35</v>
      </c>
      <c r="T78" s="2">
        <v>99</v>
      </c>
      <c r="U78" s="2">
        <v>13.4</v>
      </c>
      <c r="V78" s="2">
        <v>203</v>
      </c>
      <c r="W78" s="2">
        <v>25.8</v>
      </c>
      <c r="X78" s="2">
        <v>108</v>
      </c>
      <c r="Y78" s="2">
        <v>8.3000000000000007</v>
      </c>
      <c r="Z78" s="2">
        <v>1.92</v>
      </c>
      <c r="AA78" s="2">
        <v>3.38</v>
      </c>
      <c r="AB78" s="2">
        <v>20.2</v>
      </c>
      <c r="AC78" s="2">
        <v>95</v>
      </c>
      <c r="AD78" s="2">
        <v>78</v>
      </c>
      <c r="AE78" s="2">
        <v>78</v>
      </c>
      <c r="AF78" s="2">
        <v>363</v>
      </c>
      <c r="AG78" s="2">
        <v>548</v>
      </c>
      <c r="AH78" s="2">
        <v>2.83</v>
      </c>
      <c r="AI78" s="2">
        <v>0.6</v>
      </c>
      <c r="AJ78" s="2">
        <v>40.200000000000003</v>
      </c>
      <c r="AK78" s="2">
        <v>0.6</v>
      </c>
      <c r="AL78" s="2">
        <v>44</v>
      </c>
      <c r="AM78" s="2"/>
      <c r="AN78" s="2"/>
      <c r="AO78" s="2">
        <v>0.41</v>
      </c>
      <c r="AP78" s="4">
        <v>3153.23</v>
      </c>
      <c r="AQ78" s="4">
        <v>611.27</v>
      </c>
      <c r="AR78" s="4">
        <v>9651.94</v>
      </c>
      <c r="AS78" s="2">
        <v>11.3</v>
      </c>
      <c r="AT78" s="2">
        <v>26.4</v>
      </c>
      <c r="AU78" s="2">
        <v>3.6</v>
      </c>
      <c r="AV78" s="2">
        <v>16.600000000000001</v>
      </c>
      <c r="AW78" s="2">
        <v>4.2</v>
      </c>
      <c r="AX78" s="2">
        <v>1.37</v>
      </c>
      <c r="AY78" s="2">
        <v>4.24</v>
      </c>
      <c r="AZ78" s="2">
        <v>0.73</v>
      </c>
      <c r="BA78" s="2">
        <v>4.47</v>
      </c>
      <c r="BB78" s="2">
        <v>0.96</v>
      </c>
      <c r="BC78" s="2">
        <v>2.57</v>
      </c>
      <c r="BD78" s="2">
        <v>0.36</v>
      </c>
      <c r="BE78" s="2">
        <v>2.41</v>
      </c>
      <c r="BF78" s="2">
        <v>0.37</v>
      </c>
      <c r="BG78" s="5" t="s">
        <v>1</v>
      </c>
    </row>
    <row r="79" spans="1:59" ht="15.75" x14ac:dyDescent="0.15">
      <c r="A79" s="2" t="s">
        <v>82</v>
      </c>
      <c r="B79" s="1" t="s">
        <v>174</v>
      </c>
      <c r="C79" s="1">
        <v>1320</v>
      </c>
      <c r="D79" s="2">
        <v>49.52</v>
      </c>
      <c r="E79" s="2">
        <v>1.63</v>
      </c>
      <c r="F79" s="2">
        <v>15.17</v>
      </c>
      <c r="G79" s="2">
        <v>12.48</v>
      </c>
      <c r="H79" s="2">
        <v>0.17</v>
      </c>
      <c r="I79" s="2">
        <v>5.98</v>
      </c>
      <c r="J79" s="2">
        <v>11.14</v>
      </c>
      <c r="K79" s="2">
        <v>2.0499999999999998</v>
      </c>
      <c r="L79" s="2">
        <v>0.69</v>
      </c>
      <c r="M79" s="2">
        <v>0.14000000000000001</v>
      </c>
      <c r="N79" s="2">
        <v>0.78</v>
      </c>
      <c r="O79" s="2">
        <v>99.75</v>
      </c>
      <c r="P79" s="2"/>
      <c r="Q79" s="2">
        <f t="shared" si="1"/>
        <v>2.7399999999999998</v>
      </c>
      <c r="R79" s="2">
        <v>0.62</v>
      </c>
      <c r="S79" s="2">
        <v>48.7</v>
      </c>
      <c r="T79" s="2">
        <v>118</v>
      </c>
      <c r="U79" s="2">
        <v>25.5</v>
      </c>
      <c r="V79" s="2">
        <v>200</v>
      </c>
      <c r="W79" s="2">
        <v>25.8</v>
      </c>
      <c r="X79" s="2">
        <v>108</v>
      </c>
      <c r="Y79" s="2">
        <v>8.4</v>
      </c>
      <c r="Z79" s="2">
        <v>1.89</v>
      </c>
      <c r="AA79" s="2">
        <v>3.35</v>
      </c>
      <c r="AB79" s="2">
        <v>20</v>
      </c>
      <c r="AC79" s="2">
        <v>96</v>
      </c>
      <c r="AD79" s="2">
        <v>77</v>
      </c>
      <c r="AE79" s="2">
        <v>76</v>
      </c>
      <c r="AF79" s="2">
        <v>382</v>
      </c>
      <c r="AG79" s="2">
        <v>563</v>
      </c>
      <c r="AH79" s="2">
        <v>2.77</v>
      </c>
      <c r="AI79" s="2">
        <v>0.5</v>
      </c>
      <c r="AJ79" s="2">
        <v>41</v>
      </c>
      <c r="AK79" s="2">
        <v>0.61</v>
      </c>
      <c r="AL79" s="2">
        <v>43</v>
      </c>
      <c r="AM79" s="2"/>
      <c r="AN79" s="2"/>
      <c r="AO79" s="2">
        <v>0.4</v>
      </c>
      <c r="AP79" s="4">
        <v>5725.59</v>
      </c>
      <c r="AQ79" s="4">
        <v>611.27</v>
      </c>
      <c r="AR79" s="4">
        <v>9771.84</v>
      </c>
      <c r="AS79" s="2">
        <v>11.4</v>
      </c>
      <c r="AT79" s="2">
        <v>26.5</v>
      </c>
      <c r="AU79" s="2">
        <v>3.5</v>
      </c>
      <c r="AV79" s="2">
        <v>16.5</v>
      </c>
      <c r="AW79" s="2">
        <v>4.13</v>
      </c>
      <c r="AX79" s="2">
        <v>1.34</v>
      </c>
      <c r="AY79" s="2">
        <v>4.17</v>
      </c>
      <c r="AZ79" s="2">
        <v>0.71</v>
      </c>
      <c r="BA79" s="2">
        <v>4.4000000000000004</v>
      </c>
      <c r="BB79" s="2">
        <v>0.94</v>
      </c>
      <c r="BC79" s="2">
        <v>2.5299999999999998</v>
      </c>
      <c r="BD79" s="2">
        <v>0.36</v>
      </c>
      <c r="BE79" s="2">
        <v>2.38</v>
      </c>
      <c r="BF79" s="2">
        <v>0.36</v>
      </c>
      <c r="BG79" s="5" t="s">
        <v>1</v>
      </c>
    </row>
    <row r="80" spans="1:59" ht="15.75" x14ac:dyDescent="0.15">
      <c r="A80" s="2" t="s">
        <v>83</v>
      </c>
      <c r="B80" s="1" t="s">
        <v>174</v>
      </c>
      <c r="C80" s="1">
        <v>1320</v>
      </c>
      <c r="D80" s="2">
        <v>49.56</v>
      </c>
      <c r="E80" s="2">
        <v>1.55</v>
      </c>
      <c r="F80" s="2">
        <v>15.19</v>
      </c>
      <c r="G80" s="2">
        <v>12.16</v>
      </c>
      <c r="H80" s="2">
        <v>0.17</v>
      </c>
      <c r="I80" s="2">
        <v>6.1</v>
      </c>
      <c r="J80" s="2">
        <v>11.24</v>
      </c>
      <c r="K80" s="2">
        <v>2.12</v>
      </c>
      <c r="L80" s="2">
        <v>0.67</v>
      </c>
      <c r="M80" s="2">
        <v>0.14000000000000001</v>
      </c>
      <c r="N80" s="2">
        <v>0.92</v>
      </c>
      <c r="O80" s="2">
        <v>99.82</v>
      </c>
      <c r="P80" s="2"/>
      <c r="Q80" s="2">
        <f t="shared" si="1"/>
        <v>2.79</v>
      </c>
      <c r="R80" s="2">
        <v>0.62</v>
      </c>
      <c r="S80" s="2">
        <v>49.85</v>
      </c>
      <c r="T80" s="2">
        <v>114</v>
      </c>
      <c r="U80" s="2">
        <v>25.1</v>
      </c>
      <c r="V80" s="2">
        <v>202</v>
      </c>
      <c r="W80" s="2">
        <v>25.2</v>
      </c>
      <c r="X80" s="2">
        <v>106</v>
      </c>
      <c r="Y80" s="2">
        <v>8</v>
      </c>
      <c r="Z80" s="2">
        <v>1.88</v>
      </c>
      <c r="AA80" s="2">
        <v>3.02</v>
      </c>
      <c r="AB80" s="2">
        <v>19.7</v>
      </c>
      <c r="AC80" s="2">
        <v>92</v>
      </c>
      <c r="AD80" s="2">
        <v>75</v>
      </c>
      <c r="AE80" s="2">
        <v>74</v>
      </c>
      <c r="AF80" s="2">
        <v>371</v>
      </c>
      <c r="AG80" s="2">
        <v>583</v>
      </c>
      <c r="AH80" s="2">
        <v>2.74</v>
      </c>
      <c r="AI80" s="2">
        <v>0.5</v>
      </c>
      <c r="AJ80" s="2">
        <v>40.9</v>
      </c>
      <c r="AK80" s="2">
        <v>0.57999999999999996</v>
      </c>
      <c r="AL80" s="2">
        <v>42</v>
      </c>
      <c r="AM80" s="2"/>
      <c r="AN80" s="2"/>
      <c r="AO80" s="2">
        <v>0.39</v>
      </c>
      <c r="AP80" s="4">
        <v>5559.63</v>
      </c>
      <c r="AQ80" s="4">
        <v>611.27</v>
      </c>
      <c r="AR80" s="4">
        <v>9292.24</v>
      </c>
      <c r="AS80" s="2">
        <v>11.2</v>
      </c>
      <c r="AT80" s="2">
        <v>26</v>
      </c>
      <c r="AU80" s="2">
        <v>3.5</v>
      </c>
      <c r="AV80" s="2">
        <v>16</v>
      </c>
      <c r="AW80" s="2">
        <v>4.0199999999999996</v>
      </c>
      <c r="AX80" s="2">
        <v>1.32</v>
      </c>
      <c r="AY80" s="2">
        <v>4.07</v>
      </c>
      <c r="AZ80" s="2">
        <v>0.7</v>
      </c>
      <c r="BA80" s="2">
        <v>4.29</v>
      </c>
      <c r="BB80" s="2">
        <v>0.92</v>
      </c>
      <c r="BC80" s="2">
        <v>2.48</v>
      </c>
      <c r="BD80" s="2">
        <v>0.35</v>
      </c>
      <c r="BE80" s="2">
        <v>2.3199999999999998</v>
      </c>
      <c r="BF80" s="2">
        <v>0.35</v>
      </c>
      <c r="BG80" s="5" t="s">
        <v>1</v>
      </c>
    </row>
    <row r="81" spans="1:59" ht="15.75" x14ac:dyDescent="0.15">
      <c r="A81" s="2" t="s">
        <v>84</v>
      </c>
      <c r="B81" s="1" t="s">
        <v>174</v>
      </c>
      <c r="C81" s="1">
        <v>1320</v>
      </c>
      <c r="D81" s="2">
        <v>49.71</v>
      </c>
      <c r="E81" s="2">
        <v>1.55</v>
      </c>
      <c r="F81" s="2">
        <v>15.21</v>
      </c>
      <c r="G81" s="2">
        <v>12.43</v>
      </c>
      <c r="H81" s="2">
        <v>0.17</v>
      </c>
      <c r="I81" s="2">
        <v>6.07</v>
      </c>
      <c r="J81" s="2">
        <v>11.3</v>
      </c>
      <c r="K81" s="2">
        <v>1.94</v>
      </c>
      <c r="L81" s="2">
        <v>0.56000000000000005</v>
      </c>
      <c r="M81" s="2">
        <v>0.14000000000000001</v>
      </c>
      <c r="N81" s="2">
        <v>0.45</v>
      </c>
      <c r="O81" s="2">
        <v>99.53</v>
      </c>
      <c r="P81" s="2"/>
      <c r="Q81" s="2">
        <f t="shared" si="1"/>
        <v>2.5</v>
      </c>
      <c r="R81" s="2">
        <v>0.62</v>
      </c>
      <c r="S81" s="2">
        <v>49.19</v>
      </c>
      <c r="T81" s="2">
        <v>124</v>
      </c>
      <c r="U81" s="2">
        <v>20.100000000000001</v>
      </c>
      <c r="V81" s="2">
        <v>198</v>
      </c>
      <c r="W81" s="2">
        <v>26</v>
      </c>
      <c r="X81" s="2">
        <v>107</v>
      </c>
      <c r="Y81" s="2">
        <v>8.5</v>
      </c>
      <c r="Z81" s="2">
        <v>1.85</v>
      </c>
      <c r="AA81" s="2">
        <v>4.33</v>
      </c>
      <c r="AB81" s="2">
        <v>18.7</v>
      </c>
      <c r="AC81" s="2">
        <v>95</v>
      </c>
      <c r="AD81" s="2">
        <v>101</v>
      </c>
      <c r="AE81" s="2">
        <v>75</v>
      </c>
      <c r="AF81" s="2">
        <v>384</v>
      </c>
      <c r="AG81" s="2">
        <v>576</v>
      </c>
      <c r="AH81" s="2">
        <v>3.18</v>
      </c>
      <c r="AI81" s="2">
        <v>0.7</v>
      </c>
      <c r="AJ81" s="2">
        <v>42.9</v>
      </c>
      <c r="AK81" s="2">
        <v>0.62</v>
      </c>
      <c r="AL81" s="2">
        <v>43</v>
      </c>
      <c r="AM81" s="2"/>
      <c r="AN81" s="2"/>
      <c r="AO81" s="2">
        <v>0.41</v>
      </c>
      <c r="AP81" s="4">
        <v>4646.8599999999997</v>
      </c>
      <c r="AQ81" s="4">
        <v>611.27</v>
      </c>
      <c r="AR81" s="4">
        <v>9292.24</v>
      </c>
      <c r="AS81" s="2">
        <v>11.8</v>
      </c>
      <c r="AT81" s="2">
        <v>27.6</v>
      </c>
      <c r="AU81" s="2">
        <v>3.6</v>
      </c>
      <c r="AV81" s="2">
        <v>16.899999999999999</v>
      </c>
      <c r="AW81" s="2">
        <v>4.22</v>
      </c>
      <c r="AX81" s="2">
        <v>1.38</v>
      </c>
      <c r="AY81" s="2">
        <v>4.5</v>
      </c>
      <c r="AZ81" s="2">
        <v>0.78</v>
      </c>
      <c r="BA81" s="2">
        <v>4.6399999999999997</v>
      </c>
      <c r="BB81" s="2">
        <v>0.96</v>
      </c>
      <c r="BC81" s="2">
        <v>2.4700000000000002</v>
      </c>
      <c r="BD81" s="2">
        <v>0.37</v>
      </c>
      <c r="BE81" s="2">
        <v>2.5299999999999998</v>
      </c>
      <c r="BF81" s="2">
        <v>0.4</v>
      </c>
      <c r="BG81" s="5" t="s">
        <v>1</v>
      </c>
    </row>
    <row r="82" spans="1:59" ht="15.75" x14ac:dyDescent="0.15">
      <c r="A82" s="2" t="s">
        <v>85</v>
      </c>
      <c r="B82" s="1" t="s">
        <v>174</v>
      </c>
      <c r="C82" s="1">
        <v>1320</v>
      </c>
      <c r="D82" s="2">
        <v>47.87</v>
      </c>
      <c r="E82" s="2">
        <v>1.67</v>
      </c>
      <c r="F82" s="2">
        <v>14.5</v>
      </c>
      <c r="G82" s="2">
        <v>14.66</v>
      </c>
      <c r="H82" s="2">
        <v>0.18</v>
      </c>
      <c r="I82" s="2">
        <v>8.77</v>
      </c>
      <c r="J82" s="2">
        <v>9.19</v>
      </c>
      <c r="K82" s="2">
        <v>1.76</v>
      </c>
      <c r="L82" s="2">
        <v>0.4</v>
      </c>
      <c r="M82" s="2">
        <v>0.16</v>
      </c>
      <c r="N82" s="2">
        <v>0.87</v>
      </c>
      <c r="O82" s="2">
        <v>100.03</v>
      </c>
      <c r="P82" s="2"/>
      <c r="Q82" s="2">
        <f t="shared" si="1"/>
        <v>2.16</v>
      </c>
      <c r="R82" s="2">
        <v>0.72</v>
      </c>
      <c r="S82" s="2">
        <v>54.24</v>
      </c>
      <c r="T82" s="2">
        <v>101</v>
      </c>
      <c r="U82" s="2">
        <v>14.4</v>
      </c>
      <c r="V82" s="2">
        <v>187</v>
      </c>
      <c r="W82" s="2">
        <v>25</v>
      </c>
      <c r="X82" s="2">
        <v>108</v>
      </c>
      <c r="Y82" s="2">
        <v>9</v>
      </c>
      <c r="Z82" s="2">
        <v>1.89</v>
      </c>
      <c r="AA82" s="2">
        <v>4.3099999999999996</v>
      </c>
      <c r="AB82" s="2">
        <v>17.5</v>
      </c>
      <c r="AC82" s="2">
        <v>106</v>
      </c>
      <c r="AD82" s="2">
        <v>104</v>
      </c>
      <c r="AE82" s="2">
        <v>223</v>
      </c>
      <c r="AF82" s="2">
        <v>316</v>
      </c>
      <c r="AG82" s="2">
        <v>167</v>
      </c>
      <c r="AH82" s="2">
        <v>3.16</v>
      </c>
      <c r="AI82" s="2">
        <v>1.1000000000000001</v>
      </c>
      <c r="AJ82" s="2">
        <v>31.6</v>
      </c>
      <c r="AK82" s="2">
        <v>0.67</v>
      </c>
      <c r="AL82" s="2">
        <v>65</v>
      </c>
      <c r="AM82" s="2"/>
      <c r="AN82" s="2"/>
      <c r="AO82" s="2">
        <v>0.42</v>
      </c>
      <c r="AP82" s="4">
        <v>3319.19</v>
      </c>
      <c r="AQ82" s="4">
        <v>698.59</v>
      </c>
      <c r="AR82" s="4">
        <v>10011.64</v>
      </c>
      <c r="AS82" s="2">
        <v>12.2</v>
      </c>
      <c r="AT82" s="2">
        <v>28</v>
      </c>
      <c r="AU82" s="2">
        <v>3.6</v>
      </c>
      <c r="AV82" s="2">
        <v>17</v>
      </c>
      <c r="AW82" s="2">
        <v>4.1399999999999997</v>
      </c>
      <c r="AX82" s="2">
        <v>1.31</v>
      </c>
      <c r="AY82" s="2">
        <v>4.33</v>
      </c>
      <c r="AZ82" s="2">
        <v>0.75</v>
      </c>
      <c r="BA82" s="2">
        <v>4.46</v>
      </c>
      <c r="BB82" s="2">
        <v>0.93</v>
      </c>
      <c r="BC82" s="2">
        <v>2.38</v>
      </c>
      <c r="BD82" s="2">
        <v>0.36</v>
      </c>
      <c r="BE82" s="2">
        <v>2.44</v>
      </c>
      <c r="BF82" s="2">
        <v>0.38</v>
      </c>
      <c r="BG82" s="5" t="s">
        <v>1</v>
      </c>
    </row>
    <row r="83" spans="1:59" ht="15.75" x14ac:dyDescent="0.15">
      <c r="A83" s="2" t="s">
        <v>86</v>
      </c>
      <c r="B83" s="1" t="s">
        <v>174</v>
      </c>
      <c r="C83" s="1">
        <v>1320</v>
      </c>
      <c r="D83" s="2">
        <v>50.05</v>
      </c>
      <c r="E83" s="2">
        <v>3.14</v>
      </c>
      <c r="F83" s="2">
        <v>11.79</v>
      </c>
      <c r="G83" s="2">
        <v>17.68</v>
      </c>
      <c r="H83" s="2">
        <v>0.22</v>
      </c>
      <c r="I83" s="2">
        <v>4.3600000000000003</v>
      </c>
      <c r="J83" s="2">
        <v>8.59</v>
      </c>
      <c r="K83" s="2">
        <v>2.04</v>
      </c>
      <c r="L83" s="2">
        <v>1.18</v>
      </c>
      <c r="M83" s="2">
        <v>0.28999999999999998</v>
      </c>
      <c r="N83" s="2">
        <v>0.6</v>
      </c>
      <c r="O83" s="2">
        <v>99.94</v>
      </c>
      <c r="P83" s="2"/>
      <c r="Q83" s="2">
        <f t="shared" si="1"/>
        <v>3.2199999999999998</v>
      </c>
      <c r="R83" s="2">
        <v>0.57999999999999996</v>
      </c>
      <c r="S83" s="2">
        <v>32.82</v>
      </c>
      <c r="T83" s="2">
        <v>285</v>
      </c>
      <c r="U83" s="2">
        <v>44.8</v>
      </c>
      <c r="V83" s="2">
        <v>190</v>
      </c>
      <c r="W83" s="2">
        <v>47.9</v>
      </c>
      <c r="X83" s="2">
        <v>225</v>
      </c>
      <c r="Y83" s="2">
        <v>18.2</v>
      </c>
      <c r="Z83" s="2">
        <v>4.01</v>
      </c>
      <c r="AA83" s="2">
        <v>7.05</v>
      </c>
      <c r="AB83" s="2">
        <v>22.8</v>
      </c>
      <c r="AC83" s="2">
        <v>155</v>
      </c>
      <c r="AD83" s="2">
        <v>186</v>
      </c>
      <c r="AE83" s="2">
        <v>39</v>
      </c>
      <c r="AF83" s="2">
        <v>535</v>
      </c>
      <c r="AG83" s="2">
        <v>50</v>
      </c>
      <c r="AH83" s="2">
        <v>6.27</v>
      </c>
      <c r="AI83" s="2">
        <v>2.2000000000000002</v>
      </c>
      <c r="AJ83" s="2">
        <v>44.4</v>
      </c>
      <c r="AK83" s="2">
        <v>1.24</v>
      </c>
      <c r="AL83" s="2">
        <v>47</v>
      </c>
      <c r="AM83" s="2"/>
      <c r="AN83" s="2"/>
      <c r="AO83" s="2">
        <v>0.9</v>
      </c>
      <c r="AP83" s="4">
        <v>9791.6</v>
      </c>
      <c r="AQ83" s="4">
        <v>1266.2</v>
      </c>
      <c r="AR83" s="4">
        <v>18824.28</v>
      </c>
      <c r="AS83" s="2">
        <v>24.2</v>
      </c>
      <c r="AT83" s="2">
        <v>55.3</v>
      </c>
      <c r="AU83" s="2">
        <v>7.2</v>
      </c>
      <c r="AV83" s="2">
        <v>33.200000000000003</v>
      </c>
      <c r="AW83" s="2">
        <v>8.14</v>
      </c>
      <c r="AX83" s="2">
        <v>2.2599999999999998</v>
      </c>
      <c r="AY83" s="2">
        <v>8.31</v>
      </c>
      <c r="AZ83" s="2">
        <v>1.44</v>
      </c>
      <c r="BA83" s="2">
        <v>8.5299999999999994</v>
      </c>
      <c r="BB83" s="2">
        <v>1.75</v>
      </c>
      <c r="BC83" s="2">
        <v>4.46</v>
      </c>
      <c r="BD83" s="2">
        <v>0.67</v>
      </c>
      <c r="BE83" s="2">
        <v>4.43</v>
      </c>
      <c r="BF83" s="2">
        <v>0.71</v>
      </c>
      <c r="BG83" s="5" t="s">
        <v>1</v>
      </c>
    </row>
    <row r="84" spans="1:59" ht="15.75" x14ac:dyDescent="0.15">
      <c r="A84" s="2" t="s">
        <v>87</v>
      </c>
      <c r="B84" s="1" t="s">
        <v>174</v>
      </c>
      <c r="C84" s="1">
        <v>1320</v>
      </c>
      <c r="D84" s="2">
        <v>49.94</v>
      </c>
      <c r="E84" s="2">
        <v>2.54</v>
      </c>
      <c r="F84" s="2">
        <v>12.6</v>
      </c>
      <c r="G84" s="2">
        <v>16.420000000000002</v>
      </c>
      <c r="H84" s="2">
        <v>0.21</v>
      </c>
      <c r="I84" s="2">
        <v>5.16</v>
      </c>
      <c r="J84" s="2">
        <v>9.5299999999999994</v>
      </c>
      <c r="K84" s="2">
        <v>1.78</v>
      </c>
      <c r="L84" s="2">
        <v>0.96</v>
      </c>
      <c r="M84" s="2">
        <v>0.24</v>
      </c>
      <c r="N84" s="2">
        <v>0.65</v>
      </c>
      <c r="O84" s="2">
        <v>100.03</v>
      </c>
      <c r="P84" s="2"/>
      <c r="Q84" s="2">
        <f t="shared" si="1"/>
        <v>2.74</v>
      </c>
      <c r="R84" s="2">
        <v>0.59</v>
      </c>
      <c r="S84" s="2">
        <v>38.380000000000003</v>
      </c>
      <c r="T84" s="2">
        <v>202</v>
      </c>
      <c r="U84" s="2">
        <v>37.4</v>
      </c>
      <c r="V84" s="2">
        <v>209</v>
      </c>
      <c r="W84" s="2">
        <v>40.1</v>
      </c>
      <c r="X84" s="2">
        <v>178</v>
      </c>
      <c r="Y84" s="2">
        <v>14.3</v>
      </c>
      <c r="Z84" s="2">
        <v>3.19</v>
      </c>
      <c r="AA84" s="2">
        <v>5.96</v>
      </c>
      <c r="AB84" s="2">
        <v>21</v>
      </c>
      <c r="AC84" s="2">
        <v>139</v>
      </c>
      <c r="AD84" s="2">
        <v>160</v>
      </c>
      <c r="AE84" s="2">
        <v>53</v>
      </c>
      <c r="AF84" s="2">
        <v>465</v>
      </c>
      <c r="AG84" s="2">
        <v>167</v>
      </c>
      <c r="AH84" s="2">
        <v>5.03</v>
      </c>
      <c r="AI84" s="2">
        <v>2.1</v>
      </c>
      <c r="AJ84" s="2">
        <v>45.1</v>
      </c>
      <c r="AK84" s="2">
        <v>1</v>
      </c>
      <c r="AL84" s="2">
        <v>49</v>
      </c>
      <c r="AM84" s="2"/>
      <c r="AN84" s="2"/>
      <c r="AO84" s="2">
        <v>0.71</v>
      </c>
      <c r="AP84" s="4">
        <v>7966.04</v>
      </c>
      <c r="AQ84" s="4">
        <v>1047.8900000000001</v>
      </c>
      <c r="AR84" s="4">
        <v>15227.28</v>
      </c>
      <c r="AS84" s="2">
        <v>19.3</v>
      </c>
      <c r="AT84" s="2">
        <v>44.7</v>
      </c>
      <c r="AU84" s="2">
        <v>5.8</v>
      </c>
      <c r="AV84" s="2">
        <v>27</v>
      </c>
      <c r="AW84" s="2">
        <v>6.64</v>
      </c>
      <c r="AX84" s="2">
        <v>1.92</v>
      </c>
      <c r="AY84" s="2">
        <v>6.9</v>
      </c>
      <c r="AZ84" s="2">
        <v>1.2</v>
      </c>
      <c r="BA84" s="2">
        <v>7.06</v>
      </c>
      <c r="BB84" s="2">
        <v>1.48</v>
      </c>
      <c r="BC84" s="2">
        <v>3.78</v>
      </c>
      <c r="BD84" s="2">
        <v>0.56999999999999995</v>
      </c>
      <c r="BE84" s="2">
        <v>3.76</v>
      </c>
      <c r="BF84" s="2">
        <v>0.59</v>
      </c>
      <c r="BG84" s="5" t="s">
        <v>1</v>
      </c>
    </row>
    <row r="85" spans="1:59" ht="15.75" x14ac:dyDescent="0.15">
      <c r="A85" s="2" t="s">
        <v>88</v>
      </c>
      <c r="B85" s="1" t="s">
        <v>174</v>
      </c>
      <c r="C85" s="1">
        <v>1320</v>
      </c>
      <c r="D85" s="2">
        <v>50.14</v>
      </c>
      <c r="E85" s="2">
        <v>2.17</v>
      </c>
      <c r="F85" s="2">
        <v>12.89</v>
      </c>
      <c r="G85" s="2">
        <v>15.31</v>
      </c>
      <c r="H85" s="2">
        <v>0.21</v>
      </c>
      <c r="I85" s="2">
        <v>5.99</v>
      </c>
      <c r="J85" s="2">
        <v>9.41</v>
      </c>
      <c r="K85" s="2">
        <v>1.9</v>
      </c>
      <c r="L85" s="2">
        <v>1.1000000000000001</v>
      </c>
      <c r="M85" s="2">
        <v>0.2</v>
      </c>
      <c r="N85" s="2">
        <v>0.76</v>
      </c>
      <c r="O85" s="2">
        <v>100.08</v>
      </c>
      <c r="P85" s="2"/>
      <c r="Q85" s="2">
        <f t="shared" si="1"/>
        <v>3</v>
      </c>
      <c r="R85" s="2">
        <v>0.6</v>
      </c>
      <c r="S85" s="2">
        <v>43.66</v>
      </c>
      <c r="T85" s="2">
        <v>191</v>
      </c>
      <c r="U85" s="2">
        <v>40.1</v>
      </c>
      <c r="V85" s="2">
        <v>220</v>
      </c>
      <c r="W85" s="2">
        <v>34.1</v>
      </c>
      <c r="X85" s="2">
        <v>142</v>
      </c>
      <c r="Y85" s="2">
        <v>11.7</v>
      </c>
      <c r="Z85" s="2">
        <v>2.5099999999999998</v>
      </c>
      <c r="AA85" s="2">
        <v>4.9800000000000004</v>
      </c>
      <c r="AB85" s="2">
        <v>19.5</v>
      </c>
      <c r="AC85" s="2">
        <v>120</v>
      </c>
      <c r="AD85" s="2">
        <v>135</v>
      </c>
      <c r="AE85" s="2">
        <v>62</v>
      </c>
      <c r="AF85" s="2">
        <v>445</v>
      </c>
      <c r="AG85" s="2">
        <v>191</v>
      </c>
      <c r="AH85" s="2">
        <v>4.2300000000000004</v>
      </c>
      <c r="AI85" s="2">
        <v>1.7</v>
      </c>
      <c r="AJ85" s="2">
        <v>46</v>
      </c>
      <c r="AK85" s="2">
        <v>0.85</v>
      </c>
      <c r="AL85" s="2">
        <v>48</v>
      </c>
      <c r="AM85" s="2"/>
      <c r="AN85" s="2"/>
      <c r="AO85" s="2">
        <v>0.56000000000000005</v>
      </c>
      <c r="AP85" s="4">
        <v>9127.76</v>
      </c>
      <c r="AQ85" s="4">
        <v>873.24</v>
      </c>
      <c r="AR85" s="4">
        <v>13009.14</v>
      </c>
      <c r="AS85" s="2">
        <v>15.7</v>
      </c>
      <c r="AT85" s="2">
        <v>36.4</v>
      </c>
      <c r="AU85" s="2">
        <v>4.7</v>
      </c>
      <c r="AV85" s="2">
        <v>22.2</v>
      </c>
      <c r="AW85" s="2">
        <v>5.54</v>
      </c>
      <c r="AX85" s="2">
        <v>1.67</v>
      </c>
      <c r="AY85" s="2">
        <v>5.79</v>
      </c>
      <c r="AZ85" s="2">
        <v>1.03</v>
      </c>
      <c r="BA85" s="2">
        <v>6.06</v>
      </c>
      <c r="BB85" s="2">
        <v>1.27</v>
      </c>
      <c r="BC85" s="2">
        <v>3.27</v>
      </c>
      <c r="BD85" s="2">
        <v>0.49</v>
      </c>
      <c r="BE85" s="2">
        <v>3.32</v>
      </c>
      <c r="BF85" s="2">
        <v>0.53</v>
      </c>
      <c r="BG85" s="5" t="s">
        <v>1</v>
      </c>
    </row>
    <row r="86" spans="1:59" ht="15.75" x14ac:dyDescent="0.15">
      <c r="A86" s="2" t="s">
        <v>89</v>
      </c>
      <c r="B86" s="1" t="s">
        <v>174</v>
      </c>
      <c r="C86" s="1">
        <v>1320</v>
      </c>
      <c r="D86" s="2">
        <v>48.81</v>
      </c>
      <c r="E86" s="2">
        <v>1.96</v>
      </c>
      <c r="F86" s="2">
        <v>14.28</v>
      </c>
      <c r="G86" s="2">
        <v>14.69</v>
      </c>
      <c r="H86" s="2">
        <v>0.19</v>
      </c>
      <c r="I86" s="2">
        <v>6.61</v>
      </c>
      <c r="J86" s="2">
        <v>9.15</v>
      </c>
      <c r="K86" s="2">
        <v>1.72</v>
      </c>
      <c r="L86" s="2">
        <v>1</v>
      </c>
      <c r="M86" s="2">
        <v>0.18</v>
      </c>
      <c r="N86" s="2">
        <v>1.24</v>
      </c>
      <c r="O86" s="2">
        <v>99.83</v>
      </c>
      <c r="P86" s="2"/>
      <c r="Q86" s="2">
        <f t="shared" si="1"/>
        <v>2.7199999999999998</v>
      </c>
      <c r="R86" s="2">
        <v>0.69</v>
      </c>
      <c r="S86" s="2">
        <v>47.13</v>
      </c>
      <c r="T86" s="2">
        <v>387</v>
      </c>
      <c r="U86" s="2">
        <v>32.1</v>
      </c>
      <c r="V86" s="2">
        <v>221</v>
      </c>
      <c r="W86" s="2">
        <v>30.7</v>
      </c>
      <c r="X86" s="2">
        <v>137</v>
      </c>
      <c r="Y86" s="2">
        <v>10.8</v>
      </c>
      <c r="Z86" s="2">
        <v>2.25</v>
      </c>
      <c r="AA86" s="2">
        <v>4.08</v>
      </c>
      <c r="AB86" s="2">
        <v>21</v>
      </c>
      <c r="AC86" s="2">
        <v>120</v>
      </c>
      <c r="AD86" s="2">
        <v>127</v>
      </c>
      <c r="AE86" s="2">
        <v>150</v>
      </c>
      <c r="AF86" s="2">
        <v>368</v>
      </c>
      <c r="AG86" s="2">
        <v>186</v>
      </c>
      <c r="AH86" s="2">
        <v>3.53</v>
      </c>
      <c r="AI86" s="2">
        <v>1.9</v>
      </c>
      <c r="AJ86" s="2">
        <v>34.299999999999997</v>
      </c>
      <c r="AK86" s="2">
        <v>0.71</v>
      </c>
      <c r="AL86" s="2">
        <v>55</v>
      </c>
      <c r="AM86" s="2"/>
      <c r="AN86" s="2"/>
      <c r="AO86" s="2">
        <v>0.49</v>
      </c>
      <c r="AP86" s="4">
        <v>8297.9599999999991</v>
      </c>
      <c r="AQ86" s="4">
        <v>785.92</v>
      </c>
      <c r="AR86" s="4">
        <v>11750.19</v>
      </c>
      <c r="AS86" s="2">
        <v>14.2</v>
      </c>
      <c r="AT86" s="2">
        <v>32.4</v>
      </c>
      <c r="AU86" s="2">
        <v>4.3</v>
      </c>
      <c r="AV86" s="2">
        <v>19.399999999999999</v>
      </c>
      <c r="AW86" s="2">
        <v>4.83</v>
      </c>
      <c r="AX86" s="2">
        <v>1.52</v>
      </c>
      <c r="AY86" s="2">
        <v>5.0199999999999996</v>
      </c>
      <c r="AZ86" s="2">
        <v>0.82</v>
      </c>
      <c r="BA86" s="2">
        <v>5.14</v>
      </c>
      <c r="BB86" s="2">
        <v>1.05</v>
      </c>
      <c r="BC86" s="2">
        <v>2.71</v>
      </c>
      <c r="BD86" s="2">
        <v>0.41</v>
      </c>
      <c r="BE86" s="2">
        <v>2.77</v>
      </c>
      <c r="BF86" s="2">
        <v>0.43</v>
      </c>
      <c r="BG86" s="5" t="s">
        <v>1</v>
      </c>
    </row>
    <row r="87" spans="1:59" ht="15.75" x14ac:dyDescent="0.15">
      <c r="A87" s="2" t="s">
        <v>90</v>
      </c>
      <c r="B87" s="1" t="s">
        <v>174</v>
      </c>
      <c r="C87" s="1">
        <v>1320</v>
      </c>
      <c r="D87" s="2">
        <v>48.95</v>
      </c>
      <c r="E87" s="2">
        <v>1.94</v>
      </c>
      <c r="F87" s="2">
        <v>14.15</v>
      </c>
      <c r="G87" s="2">
        <v>14.71</v>
      </c>
      <c r="H87" s="2">
        <v>0.19</v>
      </c>
      <c r="I87" s="2">
        <v>6.67</v>
      </c>
      <c r="J87" s="2">
        <v>9.0399999999999991</v>
      </c>
      <c r="K87" s="2">
        <v>1.71</v>
      </c>
      <c r="L87" s="2">
        <v>1.1200000000000001</v>
      </c>
      <c r="M87" s="2">
        <v>0.19</v>
      </c>
      <c r="N87" s="2">
        <v>1.03</v>
      </c>
      <c r="O87" s="2">
        <v>99.7</v>
      </c>
      <c r="P87" s="2"/>
      <c r="Q87" s="2">
        <f t="shared" si="1"/>
        <v>2.83</v>
      </c>
      <c r="R87" s="2">
        <v>0.69</v>
      </c>
      <c r="S87" s="2">
        <v>47.32</v>
      </c>
      <c r="T87" s="2">
        <v>378</v>
      </c>
      <c r="U87" s="2">
        <v>34.1</v>
      </c>
      <c r="V87" s="2">
        <v>227</v>
      </c>
      <c r="W87" s="2">
        <v>31.5</v>
      </c>
      <c r="X87" s="2">
        <v>136</v>
      </c>
      <c r="Y87" s="2">
        <v>10.7</v>
      </c>
      <c r="Z87" s="2">
        <v>2.3199999999999998</v>
      </c>
      <c r="AA87" s="2">
        <v>4.34</v>
      </c>
      <c r="AB87" s="2">
        <v>20.399999999999999</v>
      </c>
      <c r="AC87" s="2">
        <v>123</v>
      </c>
      <c r="AD87" s="2">
        <v>128</v>
      </c>
      <c r="AE87" s="2">
        <v>142</v>
      </c>
      <c r="AF87" s="2">
        <v>375</v>
      </c>
      <c r="AG87" s="2">
        <v>190</v>
      </c>
      <c r="AH87" s="2">
        <v>3.72</v>
      </c>
      <c r="AI87" s="2">
        <v>2.1</v>
      </c>
      <c r="AJ87" s="2">
        <v>35.5</v>
      </c>
      <c r="AK87" s="2">
        <v>0.73</v>
      </c>
      <c r="AL87" s="2">
        <v>55</v>
      </c>
      <c r="AM87" s="2"/>
      <c r="AN87" s="2"/>
      <c r="AO87" s="2">
        <v>0.5</v>
      </c>
      <c r="AP87" s="4">
        <v>9293.7199999999993</v>
      </c>
      <c r="AQ87" s="4">
        <v>829.58</v>
      </c>
      <c r="AR87" s="4">
        <v>11630.29</v>
      </c>
      <c r="AS87" s="2">
        <v>14.6</v>
      </c>
      <c r="AT87" s="2">
        <v>32.700000000000003</v>
      </c>
      <c r="AU87" s="2">
        <v>4.3</v>
      </c>
      <c r="AV87" s="2">
        <v>19.7</v>
      </c>
      <c r="AW87" s="2">
        <v>4.8600000000000003</v>
      </c>
      <c r="AX87" s="2">
        <v>1.49</v>
      </c>
      <c r="AY87" s="2">
        <v>5.12</v>
      </c>
      <c r="AZ87" s="2">
        <v>0.83</v>
      </c>
      <c r="BA87" s="2">
        <v>5.24</v>
      </c>
      <c r="BB87" s="2">
        <v>1.06</v>
      </c>
      <c r="BC87" s="2">
        <v>2.79</v>
      </c>
      <c r="BD87" s="2">
        <v>0.43</v>
      </c>
      <c r="BE87" s="2">
        <v>2.88</v>
      </c>
      <c r="BF87" s="2">
        <v>0.45</v>
      </c>
      <c r="BG87" s="5" t="s">
        <v>1</v>
      </c>
    </row>
    <row r="88" spans="1:59" ht="15.75" x14ac:dyDescent="0.15">
      <c r="A88" s="2" t="s">
        <v>91</v>
      </c>
      <c r="B88" s="1" t="s">
        <v>174</v>
      </c>
      <c r="C88" s="1">
        <v>1320</v>
      </c>
      <c r="D88" s="2">
        <v>48.54</v>
      </c>
      <c r="E88" s="2">
        <v>1.72</v>
      </c>
      <c r="F88" s="2">
        <v>14.68</v>
      </c>
      <c r="G88" s="2">
        <v>14.22</v>
      </c>
      <c r="H88" s="2">
        <v>0.19</v>
      </c>
      <c r="I88" s="2">
        <v>7.13</v>
      </c>
      <c r="J88" s="2">
        <v>8.84</v>
      </c>
      <c r="K88" s="2">
        <v>1.66</v>
      </c>
      <c r="L88" s="2">
        <v>1.06</v>
      </c>
      <c r="M88" s="2">
        <v>0.17</v>
      </c>
      <c r="N88" s="2">
        <v>1.46</v>
      </c>
      <c r="O88" s="2">
        <v>99.67</v>
      </c>
      <c r="P88" s="2"/>
      <c r="Q88" s="2">
        <f t="shared" si="1"/>
        <v>2.7199999999999998</v>
      </c>
      <c r="R88" s="2">
        <v>0.74</v>
      </c>
      <c r="S88" s="2">
        <v>49.83</v>
      </c>
      <c r="T88" s="2">
        <v>412</v>
      </c>
      <c r="U88" s="2">
        <v>33.299999999999997</v>
      </c>
      <c r="V88" s="2">
        <v>222</v>
      </c>
      <c r="W88" s="2">
        <v>28</v>
      </c>
      <c r="X88" s="2">
        <v>126</v>
      </c>
      <c r="Y88" s="2">
        <v>9.6</v>
      </c>
      <c r="Z88" s="2">
        <v>2.06</v>
      </c>
      <c r="AA88" s="2">
        <v>3.89</v>
      </c>
      <c r="AB88" s="2">
        <v>20.2</v>
      </c>
      <c r="AC88" s="2">
        <v>119</v>
      </c>
      <c r="AD88" s="2">
        <v>117</v>
      </c>
      <c r="AE88" s="2">
        <v>199</v>
      </c>
      <c r="AF88" s="2">
        <v>340</v>
      </c>
      <c r="AG88" s="2">
        <v>188</v>
      </c>
      <c r="AH88" s="2">
        <v>3.3</v>
      </c>
      <c r="AI88" s="2">
        <v>2.2000000000000002</v>
      </c>
      <c r="AJ88" s="2">
        <v>32.9</v>
      </c>
      <c r="AK88" s="2">
        <v>0.64</v>
      </c>
      <c r="AL88" s="2">
        <v>61</v>
      </c>
      <c r="AM88" s="2"/>
      <c r="AN88" s="2"/>
      <c r="AO88" s="2">
        <v>0.45</v>
      </c>
      <c r="AP88" s="4">
        <v>8795.84</v>
      </c>
      <c r="AQ88" s="4">
        <v>742.25</v>
      </c>
      <c r="AR88" s="4">
        <v>10311.39</v>
      </c>
      <c r="AS88" s="2">
        <v>13.4</v>
      </c>
      <c r="AT88" s="2">
        <v>30.1</v>
      </c>
      <c r="AU88" s="2">
        <v>4</v>
      </c>
      <c r="AV88" s="2">
        <v>17.899999999999999</v>
      </c>
      <c r="AW88" s="2">
        <v>4.43</v>
      </c>
      <c r="AX88" s="2">
        <v>1.39</v>
      </c>
      <c r="AY88" s="2">
        <v>4.63</v>
      </c>
      <c r="AZ88" s="2">
        <v>0.76</v>
      </c>
      <c r="BA88" s="2">
        <v>4.6500000000000004</v>
      </c>
      <c r="BB88" s="2">
        <v>0.97</v>
      </c>
      <c r="BC88" s="2">
        <v>2.6</v>
      </c>
      <c r="BD88" s="2">
        <v>0.39</v>
      </c>
      <c r="BE88" s="2">
        <v>2.58</v>
      </c>
      <c r="BF88" s="2">
        <v>0.4</v>
      </c>
      <c r="BG88" s="5" t="s">
        <v>1</v>
      </c>
    </row>
    <row r="89" spans="1:59" ht="15.75" x14ac:dyDescent="0.15">
      <c r="A89" s="2" t="s">
        <v>92</v>
      </c>
      <c r="B89" s="1" t="s">
        <v>174</v>
      </c>
      <c r="C89" s="1">
        <v>1320</v>
      </c>
      <c r="D89" s="2">
        <v>48.89</v>
      </c>
      <c r="E89" s="2">
        <v>1.23</v>
      </c>
      <c r="F89" s="2">
        <v>15.68</v>
      </c>
      <c r="G89" s="2">
        <v>10.82</v>
      </c>
      <c r="H89" s="2">
        <v>0.15</v>
      </c>
      <c r="I89" s="2">
        <v>6.69</v>
      </c>
      <c r="J89" s="2">
        <v>10.01</v>
      </c>
      <c r="K89" s="2">
        <v>2.44</v>
      </c>
      <c r="L89" s="2">
        <v>1.1599999999999999</v>
      </c>
      <c r="M89" s="2">
        <v>0.1</v>
      </c>
      <c r="N89" s="2">
        <v>2.4300000000000002</v>
      </c>
      <c r="O89" s="2">
        <v>99.6</v>
      </c>
      <c r="P89" s="2"/>
      <c r="Q89" s="2">
        <f t="shared" si="1"/>
        <v>3.5999999999999996</v>
      </c>
      <c r="R89" s="2">
        <v>0.67</v>
      </c>
      <c r="S89" s="2">
        <v>55.05</v>
      </c>
      <c r="T89" s="2">
        <v>169</v>
      </c>
      <c r="U89" s="2">
        <v>38.700000000000003</v>
      </c>
      <c r="V89" s="2">
        <v>306</v>
      </c>
      <c r="W89" s="2">
        <v>18.899999999999999</v>
      </c>
      <c r="X89" s="2">
        <v>79</v>
      </c>
      <c r="Y89" s="2">
        <v>6</v>
      </c>
      <c r="Z89" s="2">
        <v>1.55</v>
      </c>
      <c r="AA89" s="2">
        <v>2.2799999999999998</v>
      </c>
      <c r="AB89" s="2">
        <v>18</v>
      </c>
      <c r="AC89" s="2">
        <v>79</v>
      </c>
      <c r="AD89" s="2">
        <v>69</v>
      </c>
      <c r="AE89" s="2">
        <v>97</v>
      </c>
      <c r="AF89" s="2">
        <v>309</v>
      </c>
      <c r="AG89" s="2">
        <v>439</v>
      </c>
      <c r="AH89" s="2">
        <v>2.29</v>
      </c>
      <c r="AI89" s="2">
        <v>1.4</v>
      </c>
      <c r="AJ89" s="2">
        <v>35.6</v>
      </c>
      <c r="AK89" s="2">
        <v>0.41</v>
      </c>
      <c r="AL89" s="2">
        <v>45</v>
      </c>
      <c r="AM89" s="2"/>
      <c r="AN89" s="2"/>
      <c r="AO89" s="2">
        <v>0.35</v>
      </c>
      <c r="AP89" s="4">
        <v>9625.64</v>
      </c>
      <c r="AQ89" s="4">
        <v>436.62</v>
      </c>
      <c r="AR89" s="4">
        <v>7373.84</v>
      </c>
      <c r="AS89" s="2">
        <v>8.98</v>
      </c>
      <c r="AT89" s="2">
        <v>20.5</v>
      </c>
      <c r="AU89" s="2">
        <v>2.6</v>
      </c>
      <c r="AV89" s="2">
        <v>12.5</v>
      </c>
      <c r="AW89" s="2">
        <v>3.18</v>
      </c>
      <c r="AX89" s="2">
        <v>1.07</v>
      </c>
      <c r="AY89" s="2">
        <v>3.3</v>
      </c>
      <c r="AZ89" s="2">
        <v>0.56999999999999995</v>
      </c>
      <c r="BA89" s="2">
        <v>3.29</v>
      </c>
      <c r="BB89" s="2">
        <v>0.7</v>
      </c>
      <c r="BC89" s="2">
        <v>1.76</v>
      </c>
      <c r="BD89" s="2">
        <v>0.27</v>
      </c>
      <c r="BE89" s="2">
        <v>1.76</v>
      </c>
      <c r="BF89" s="2">
        <v>0.27</v>
      </c>
      <c r="BG89" s="5" t="s">
        <v>1</v>
      </c>
    </row>
    <row r="90" spans="1:59" ht="15.75" x14ac:dyDescent="0.15">
      <c r="A90" s="2" t="s">
        <v>93</v>
      </c>
      <c r="B90" s="1" t="s">
        <v>174</v>
      </c>
      <c r="C90" s="1">
        <v>1320</v>
      </c>
      <c r="D90" s="2">
        <v>49.43</v>
      </c>
      <c r="E90" s="2">
        <v>1.27</v>
      </c>
      <c r="F90" s="2">
        <v>15.53</v>
      </c>
      <c r="G90" s="2">
        <v>10.98</v>
      </c>
      <c r="H90" s="2">
        <v>0.16</v>
      </c>
      <c r="I90" s="2">
        <v>6.53</v>
      </c>
      <c r="J90" s="2">
        <v>9.57</v>
      </c>
      <c r="K90" s="2">
        <v>2.5</v>
      </c>
      <c r="L90" s="2">
        <v>1.5</v>
      </c>
      <c r="M90" s="2">
        <v>0.11</v>
      </c>
      <c r="N90" s="2">
        <v>2.08</v>
      </c>
      <c r="O90" s="2">
        <v>99.66</v>
      </c>
      <c r="P90" s="2"/>
      <c r="Q90" s="2">
        <f t="shared" si="1"/>
        <v>4</v>
      </c>
      <c r="R90" s="2">
        <v>0.67</v>
      </c>
      <c r="S90" s="2">
        <v>54.09</v>
      </c>
      <c r="T90" s="2">
        <v>292</v>
      </c>
      <c r="U90" s="2">
        <v>51.9</v>
      </c>
      <c r="V90" s="2">
        <v>350</v>
      </c>
      <c r="W90" s="2">
        <v>21.2</v>
      </c>
      <c r="X90" s="2">
        <v>86</v>
      </c>
      <c r="Y90" s="2">
        <v>6.4</v>
      </c>
      <c r="Z90" s="2">
        <v>1.75</v>
      </c>
      <c r="AA90" s="2">
        <v>2.87</v>
      </c>
      <c r="AB90" s="2">
        <v>20.8</v>
      </c>
      <c r="AC90" s="2">
        <v>86</v>
      </c>
      <c r="AD90" s="2">
        <v>83</v>
      </c>
      <c r="AE90" s="2">
        <v>97</v>
      </c>
      <c r="AF90" s="2">
        <v>369</v>
      </c>
      <c r="AG90" s="2">
        <v>563</v>
      </c>
      <c r="AH90" s="2">
        <v>2.58</v>
      </c>
      <c r="AI90" s="2">
        <v>1.6</v>
      </c>
      <c r="AJ90" s="2">
        <v>42.2</v>
      </c>
      <c r="AK90" s="2">
        <v>0.48</v>
      </c>
      <c r="AL90" s="2">
        <v>50</v>
      </c>
      <c r="AM90" s="2"/>
      <c r="AN90" s="2"/>
      <c r="AO90" s="2">
        <v>0.4</v>
      </c>
      <c r="AP90" s="4">
        <v>12446.94</v>
      </c>
      <c r="AQ90" s="4">
        <v>480.28</v>
      </c>
      <c r="AR90" s="4">
        <v>7613.64</v>
      </c>
      <c r="AS90" s="2">
        <v>9.66</v>
      </c>
      <c r="AT90" s="2">
        <v>22.1</v>
      </c>
      <c r="AU90" s="2">
        <v>2.9</v>
      </c>
      <c r="AV90" s="2">
        <v>13.5</v>
      </c>
      <c r="AW90" s="2">
        <v>3.56</v>
      </c>
      <c r="AX90" s="2">
        <v>1.19</v>
      </c>
      <c r="AY90" s="2">
        <v>3.74</v>
      </c>
      <c r="AZ90" s="2">
        <v>0.65</v>
      </c>
      <c r="BA90" s="2">
        <v>3.75</v>
      </c>
      <c r="BB90" s="2">
        <v>0.8</v>
      </c>
      <c r="BC90" s="2">
        <v>2.0299999999999998</v>
      </c>
      <c r="BD90" s="2">
        <v>0.31</v>
      </c>
      <c r="BE90" s="2">
        <v>2.04</v>
      </c>
      <c r="BF90" s="2">
        <v>0.31</v>
      </c>
      <c r="BG90" s="5" t="s">
        <v>1</v>
      </c>
    </row>
    <row r="91" spans="1:59" ht="15.75" x14ac:dyDescent="0.15">
      <c r="A91" s="2" t="s">
        <v>94</v>
      </c>
      <c r="B91" s="1" t="s">
        <v>174</v>
      </c>
      <c r="C91" s="1">
        <v>1320</v>
      </c>
      <c r="D91" s="2">
        <v>49.11</v>
      </c>
      <c r="E91" s="2">
        <v>1.26</v>
      </c>
      <c r="F91" s="2">
        <v>15.37</v>
      </c>
      <c r="G91" s="2">
        <v>10.91</v>
      </c>
      <c r="H91" s="2">
        <v>0.16</v>
      </c>
      <c r="I91" s="2">
        <v>6.66</v>
      </c>
      <c r="J91" s="2">
        <v>10.23</v>
      </c>
      <c r="K91" s="2">
        <v>2.5299999999999998</v>
      </c>
      <c r="L91" s="2">
        <v>1.1000000000000001</v>
      </c>
      <c r="M91" s="2">
        <v>0.11</v>
      </c>
      <c r="N91" s="2">
        <v>2.14</v>
      </c>
      <c r="O91" s="2">
        <v>99.58</v>
      </c>
      <c r="P91" s="2"/>
      <c r="Q91" s="2">
        <f t="shared" si="1"/>
        <v>3.63</v>
      </c>
      <c r="R91" s="2">
        <v>0.64</v>
      </c>
      <c r="S91" s="2">
        <v>54.73</v>
      </c>
      <c r="T91" s="2">
        <v>190</v>
      </c>
      <c r="U91" s="2">
        <v>34.700000000000003</v>
      </c>
      <c r="V91" s="2">
        <v>324</v>
      </c>
      <c r="W91" s="2">
        <v>20.100000000000001</v>
      </c>
      <c r="X91" s="2">
        <v>80</v>
      </c>
      <c r="Y91" s="2">
        <v>6.1</v>
      </c>
      <c r="Z91" s="2">
        <v>1.63</v>
      </c>
      <c r="AA91" s="2">
        <v>2.3199999999999998</v>
      </c>
      <c r="AB91" s="2">
        <v>19.3</v>
      </c>
      <c r="AC91" s="2">
        <v>85</v>
      </c>
      <c r="AD91" s="2">
        <v>78</v>
      </c>
      <c r="AE91" s="2">
        <v>92</v>
      </c>
      <c r="AF91" s="2">
        <v>354</v>
      </c>
      <c r="AG91" s="2">
        <v>558</v>
      </c>
      <c r="AH91" s="2">
        <v>2.44</v>
      </c>
      <c r="AI91" s="2">
        <v>1.6</v>
      </c>
      <c r="AJ91" s="2">
        <v>41.6</v>
      </c>
      <c r="AK91" s="2">
        <v>0.44</v>
      </c>
      <c r="AL91" s="2">
        <v>49</v>
      </c>
      <c r="AM91" s="2"/>
      <c r="AN91" s="2"/>
      <c r="AO91" s="2">
        <v>0.37</v>
      </c>
      <c r="AP91" s="4">
        <v>9127.76</v>
      </c>
      <c r="AQ91" s="4">
        <v>480.28</v>
      </c>
      <c r="AR91" s="4">
        <v>7553.69</v>
      </c>
      <c r="AS91" s="2">
        <v>9.1999999999999993</v>
      </c>
      <c r="AT91" s="2">
        <v>21.4</v>
      </c>
      <c r="AU91" s="2">
        <v>2.8</v>
      </c>
      <c r="AV91" s="2">
        <v>13.6</v>
      </c>
      <c r="AW91" s="2">
        <v>3.45</v>
      </c>
      <c r="AX91" s="2">
        <v>1.1599999999999999</v>
      </c>
      <c r="AY91" s="2">
        <v>3.61</v>
      </c>
      <c r="AZ91" s="2">
        <v>0.62</v>
      </c>
      <c r="BA91" s="2">
        <v>3.62</v>
      </c>
      <c r="BB91" s="2">
        <v>0.77</v>
      </c>
      <c r="BC91" s="2">
        <v>1.93</v>
      </c>
      <c r="BD91" s="2">
        <v>0.3</v>
      </c>
      <c r="BE91" s="2">
        <v>1.95</v>
      </c>
      <c r="BF91" s="2">
        <v>0.3</v>
      </c>
      <c r="BG91" s="5" t="s">
        <v>1</v>
      </c>
    </row>
    <row r="92" spans="1:59" ht="15.75" x14ac:dyDescent="0.15">
      <c r="A92" s="2" t="s">
        <v>95</v>
      </c>
      <c r="B92" s="1" t="s">
        <v>174</v>
      </c>
      <c r="C92" s="1">
        <v>1320</v>
      </c>
      <c r="D92" s="2">
        <v>47.64</v>
      </c>
      <c r="E92" s="2">
        <v>1.78</v>
      </c>
      <c r="F92" s="2">
        <v>14.81</v>
      </c>
      <c r="G92" s="2">
        <v>14.76</v>
      </c>
      <c r="H92" s="2">
        <v>0.19</v>
      </c>
      <c r="I92" s="2">
        <v>6.62</v>
      </c>
      <c r="J92" s="2">
        <v>9.17</v>
      </c>
      <c r="K92" s="2">
        <v>2.2799999999999998</v>
      </c>
      <c r="L92" s="2">
        <v>0.98</v>
      </c>
      <c r="M92" s="2">
        <v>0.17</v>
      </c>
      <c r="N92" s="2">
        <v>1.76</v>
      </c>
      <c r="O92" s="2">
        <v>100.16</v>
      </c>
      <c r="P92" s="2"/>
      <c r="Q92" s="2">
        <f t="shared" si="1"/>
        <v>3.26</v>
      </c>
      <c r="R92" s="2">
        <v>0.69</v>
      </c>
      <c r="S92" s="2">
        <v>47.06</v>
      </c>
      <c r="T92" s="2">
        <v>171.2</v>
      </c>
      <c r="U92" s="2">
        <v>33.74</v>
      </c>
      <c r="V92" s="2">
        <v>276</v>
      </c>
      <c r="W92" s="2">
        <v>25.44</v>
      </c>
      <c r="X92" s="2">
        <v>113.9</v>
      </c>
      <c r="Y92" s="2">
        <v>12.53</v>
      </c>
      <c r="Z92" s="2">
        <v>2.258</v>
      </c>
      <c r="AA92" s="2">
        <v>3.3959999999999999</v>
      </c>
      <c r="AB92" s="2">
        <v>21.72</v>
      </c>
      <c r="AC92" s="2">
        <v>101</v>
      </c>
      <c r="AD92" s="2">
        <v>82.58</v>
      </c>
      <c r="AE92" s="2">
        <v>101.9</v>
      </c>
      <c r="AF92" s="2">
        <v>322.60000000000002</v>
      </c>
      <c r="AG92" s="2">
        <v>189.5</v>
      </c>
      <c r="AH92" s="2">
        <v>3.0339999999999998</v>
      </c>
      <c r="AI92" s="2">
        <v>0.94299999999999995</v>
      </c>
      <c r="AJ92" s="2">
        <v>32.92</v>
      </c>
      <c r="AK92" s="2">
        <v>0.80400000000000005</v>
      </c>
      <c r="AL92" s="2">
        <v>52.06</v>
      </c>
      <c r="AM92" s="2">
        <v>12.65</v>
      </c>
      <c r="AN92" s="2"/>
      <c r="AO92" s="2">
        <v>0.48</v>
      </c>
      <c r="AP92" s="4">
        <v>8132</v>
      </c>
      <c r="AQ92" s="4">
        <v>742.25</v>
      </c>
      <c r="AR92" s="4">
        <v>10671.09</v>
      </c>
      <c r="AS92" s="2">
        <v>13.85</v>
      </c>
      <c r="AT92" s="2">
        <v>30.52</v>
      </c>
      <c r="AU92" s="2">
        <v>4.07</v>
      </c>
      <c r="AV92" s="2">
        <v>17.7</v>
      </c>
      <c r="AW92" s="2">
        <v>4.4400000000000004</v>
      </c>
      <c r="AX92" s="2">
        <v>1.4630000000000001</v>
      </c>
      <c r="AY92" s="2">
        <v>4.8600000000000003</v>
      </c>
      <c r="AZ92" s="2">
        <v>0.76100000000000001</v>
      </c>
      <c r="BA92" s="2">
        <v>4.74</v>
      </c>
      <c r="BB92" s="2">
        <v>0.96</v>
      </c>
      <c r="BC92" s="2">
        <v>2.694</v>
      </c>
      <c r="BD92" s="2">
        <v>0.372</v>
      </c>
      <c r="BE92" s="2">
        <v>2.3660000000000001</v>
      </c>
      <c r="BF92" s="2">
        <v>0.34599999999999997</v>
      </c>
      <c r="BG92" s="5" t="s">
        <v>96</v>
      </c>
    </row>
    <row r="93" spans="1:59" ht="15.75" x14ac:dyDescent="0.15">
      <c r="A93" s="2" t="s">
        <v>97</v>
      </c>
      <c r="B93" s="1" t="s">
        <v>174</v>
      </c>
      <c r="C93" s="1">
        <v>1320</v>
      </c>
      <c r="D93" s="2">
        <v>48.65</v>
      </c>
      <c r="E93" s="2">
        <v>1.79</v>
      </c>
      <c r="F93" s="2">
        <v>14.45</v>
      </c>
      <c r="G93" s="2">
        <v>14.6</v>
      </c>
      <c r="H93" s="2">
        <v>0.19</v>
      </c>
      <c r="I93" s="2">
        <v>6.21</v>
      </c>
      <c r="J93" s="2">
        <v>8.6999999999999993</v>
      </c>
      <c r="K93" s="2">
        <v>2.08</v>
      </c>
      <c r="L93" s="2">
        <v>0.88</v>
      </c>
      <c r="M93" s="2">
        <v>0.17</v>
      </c>
      <c r="N93" s="2">
        <v>1.59</v>
      </c>
      <c r="O93" s="2">
        <v>99.31</v>
      </c>
      <c r="P93" s="2"/>
      <c r="Q93" s="2">
        <f t="shared" si="1"/>
        <v>2.96</v>
      </c>
      <c r="R93" s="2">
        <v>0.72</v>
      </c>
      <c r="S93" s="2">
        <v>45.73</v>
      </c>
      <c r="T93" s="2">
        <v>174.7</v>
      </c>
      <c r="U93" s="2">
        <v>27.06</v>
      </c>
      <c r="V93" s="2">
        <v>262.39999999999998</v>
      </c>
      <c r="W93" s="2">
        <v>27.98</v>
      </c>
      <c r="X93" s="2">
        <v>127.7</v>
      </c>
      <c r="Y93" s="2">
        <v>14.15</v>
      </c>
      <c r="Z93" s="2">
        <v>2.3919999999999999</v>
      </c>
      <c r="AA93" s="2">
        <v>4.806</v>
      </c>
      <c r="AB93" s="2">
        <v>22.74</v>
      </c>
      <c r="AC93" s="2">
        <v>109.8</v>
      </c>
      <c r="AD93" s="2">
        <v>93.72</v>
      </c>
      <c r="AE93" s="2">
        <v>114.3</v>
      </c>
      <c r="AF93" s="2">
        <v>346.4</v>
      </c>
      <c r="AG93" s="2">
        <v>104.1</v>
      </c>
      <c r="AH93" s="2">
        <v>3.3</v>
      </c>
      <c r="AI93" s="2">
        <v>1.32</v>
      </c>
      <c r="AJ93" s="2">
        <v>32.520000000000003</v>
      </c>
      <c r="AK93" s="2">
        <v>0.85699999999999998</v>
      </c>
      <c r="AL93" s="2">
        <v>54.74</v>
      </c>
      <c r="AM93" s="2">
        <v>13.67</v>
      </c>
      <c r="AN93" s="2"/>
      <c r="AO93" s="2">
        <v>0.48199999999999998</v>
      </c>
      <c r="AP93" s="4">
        <v>7302.21</v>
      </c>
      <c r="AQ93" s="4">
        <v>742.25</v>
      </c>
      <c r="AR93" s="4">
        <v>10731.04</v>
      </c>
      <c r="AS93" s="2">
        <v>14.53</v>
      </c>
      <c r="AT93" s="2">
        <v>32.44</v>
      </c>
      <c r="AU93" s="2">
        <v>4.37</v>
      </c>
      <c r="AV93" s="2">
        <v>19.100000000000001</v>
      </c>
      <c r="AW93" s="2">
        <v>4.8380000000000001</v>
      </c>
      <c r="AX93" s="2">
        <v>1.603</v>
      </c>
      <c r="AY93" s="2">
        <v>5.306</v>
      </c>
      <c r="AZ93" s="2">
        <v>0.82799999999999996</v>
      </c>
      <c r="BA93" s="2">
        <v>5.1580000000000004</v>
      </c>
      <c r="BB93" s="2">
        <v>1.042</v>
      </c>
      <c r="BC93" s="2">
        <v>2.9039999999999999</v>
      </c>
      <c r="BD93" s="2">
        <v>0.39700000000000002</v>
      </c>
      <c r="BE93" s="2">
        <v>2.548</v>
      </c>
      <c r="BF93" s="2">
        <v>0.374</v>
      </c>
      <c r="BG93" s="5" t="s">
        <v>96</v>
      </c>
    </row>
    <row r="94" spans="1:59" ht="15.75" x14ac:dyDescent="0.15">
      <c r="A94" s="2" t="s">
        <v>98</v>
      </c>
      <c r="B94" s="1" t="s">
        <v>174</v>
      </c>
      <c r="C94" s="1">
        <v>1320</v>
      </c>
      <c r="D94" s="2">
        <v>47.04</v>
      </c>
      <c r="E94" s="2">
        <v>1.83</v>
      </c>
      <c r="F94" s="2">
        <v>14.1</v>
      </c>
      <c r="G94" s="2">
        <v>15.72</v>
      </c>
      <c r="H94" s="2">
        <v>0.18</v>
      </c>
      <c r="I94" s="2">
        <v>6.59</v>
      </c>
      <c r="J94" s="2">
        <v>8.58</v>
      </c>
      <c r="K94" s="2">
        <v>2.4500000000000002</v>
      </c>
      <c r="L94" s="2">
        <v>0.66</v>
      </c>
      <c r="M94" s="2">
        <v>0.18</v>
      </c>
      <c r="N94" s="2">
        <v>2.0099999999999998</v>
      </c>
      <c r="O94" s="2">
        <v>99.34</v>
      </c>
      <c r="P94" s="2"/>
      <c r="Q94" s="2">
        <f t="shared" si="1"/>
        <v>3.1100000000000003</v>
      </c>
      <c r="R94" s="2">
        <v>0.69</v>
      </c>
      <c r="S94" s="2">
        <v>45.38</v>
      </c>
      <c r="T94" s="2">
        <v>208.6</v>
      </c>
      <c r="U94" s="2">
        <v>29.2</v>
      </c>
      <c r="V94" s="2">
        <v>271.60000000000002</v>
      </c>
      <c r="W94" s="2">
        <v>28.62</v>
      </c>
      <c r="X94" s="2">
        <v>132.30000000000001</v>
      </c>
      <c r="Y94" s="2">
        <v>14.74</v>
      </c>
      <c r="Z94" s="2">
        <v>2.528</v>
      </c>
      <c r="AA94" s="2">
        <v>4.1559999999999997</v>
      </c>
      <c r="AB94" s="2">
        <v>21.56</v>
      </c>
      <c r="AC94" s="2">
        <v>106.8</v>
      </c>
      <c r="AD94" s="2">
        <v>96.38</v>
      </c>
      <c r="AE94" s="2">
        <v>121.2</v>
      </c>
      <c r="AF94" s="2">
        <v>348.2</v>
      </c>
      <c r="AG94" s="2">
        <v>96.1</v>
      </c>
      <c r="AH94" s="2">
        <v>3.4220000000000002</v>
      </c>
      <c r="AI94" s="2">
        <v>3.0219999999999998</v>
      </c>
      <c r="AJ94" s="2">
        <v>32.56</v>
      </c>
      <c r="AK94" s="2">
        <v>0.92800000000000005</v>
      </c>
      <c r="AL94" s="2">
        <v>56.58</v>
      </c>
      <c r="AM94" s="2">
        <v>13.61</v>
      </c>
      <c r="AN94" s="2"/>
      <c r="AO94" s="2">
        <v>0.50800000000000001</v>
      </c>
      <c r="AP94" s="4">
        <v>5476.66</v>
      </c>
      <c r="AQ94" s="4">
        <v>785.92</v>
      </c>
      <c r="AR94" s="4">
        <v>10970.84</v>
      </c>
      <c r="AS94" s="2">
        <v>15.3</v>
      </c>
      <c r="AT94" s="2">
        <v>33.82</v>
      </c>
      <c r="AU94" s="2">
        <v>4.5220000000000002</v>
      </c>
      <c r="AV94" s="2">
        <v>19.739999999999998</v>
      </c>
      <c r="AW94" s="2">
        <v>4.9939999999999998</v>
      </c>
      <c r="AX94" s="2">
        <v>1.607</v>
      </c>
      <c r="AY94" s="2">
        <v>5.48</v>
      </c>
      <c r="AZ94" s="2">
        <v>0.84699999999999998</v>
      </c>
      <c r="BA94" s="2">
        <v>5.2880000000000003</v>
      </c>
      <c r="BB94" s="2">
        <v>1.0629999999999999</v>
      </c>
      <c r="BC94" s="2">
        <v>2.972</v>
      </c>
      <c r="BD94" s="2">
        <v>0.41</v>
      </c>
      <c r="BE94" s="2">
        <v>2.6</v>
      </c>
      <c r="BF94" s="2">
        <v>0.38100000000000001</v>
      </c>
      <c r="BG94" s="5" t="s">
        <v>96</v>
      </c>
    </row>
    <row r="95" spans="1:59" ht="15.75" x14ac:dyDescent="0.15">
      <c r="A95" s="2" t="s">
        <v>99</v>
      </c>
      <c r="B95" s="1" t="s">
        <v>174</v>
      </c>
      <c r="C95" s="1">
        <v>1320</v>
      </c>
      <c r="D95" s="2">
        <v>48.66</v>
      </c>
      <c r="E95" s="2">
        <v>2.09</v>
      </c>
      <c r="F95" s="2">
        <v>13.38</v>
      </c>
      <c r="G95" s="2">
        <v>15.94</v>
      </c>
      <c r="H95" s="2">
        <v>0.19</v>
      </c>
      <c r="I95" s="2">
        <v>6.46</v>
      </c>
      <c r="J95" s="2">
        <v>8.1</v>
      </c>
      <c r="K95" s="2">
        <v>1.98</v>
      </c>
      <c r="L95" s="2">
        <v>1.32</v>
      </c>
      <c r="M95" s="2">
        <v>0.18</v>
      </c>
      <c r="N95" s="2">
        <v>2.04</v>
      </c>
      <c r="O95" s="2">
        <v>100.34</v>
      </c>
      <c r="P95" s="2"/>
      <c r="Q95" s="2">
        <f t="shared" si="1"/>
        <v>3.3</v>
      </c>
      <c r="R95" s="2">
        <v>0.69</v>
      </c>
      <c r="S95" s="2">
        <v>44.54</v>
      </c>
      <c r="T95" s="2">
        <v>393</v>
      </c>
      <c r="U95" s="2">
        <v>42.8</v>
      </c>
      <c r="V95" s="2">
        <v>244.6</v>
      </c>
      <c r="W95" s="2">
        <v>33.32</v>
      </c>
      <c r="X95" s="2">
        <v>166.8</v>
      </c>
      <c r="Y95" s="2">
        <v>16.95</v>
      </c>
      <c r="Z95" s="2">
        <v>3.3319999999999999</v>
      </c>
      <c r="AA95" s="2">
        <v>3.7440000000000002</v>
      </c>
      <c r="AB95" s="2">
        <v>21.82</v>
      </c>
      <c r="AC95" s="2">
        <v>97.4</v>
      </c>
      <c r="AD95" s="2">
        <v>104.4</v>
      </c>
      <c r="AE95" s="2">
        <v>108.6</v>
      </c>
      <c r="AF95" s="2">
        <v>385.6</v>
      </c>
      <c r="AG95" s="2">
        <v>95.66</v>
      </c>
      <c r="AH95" s="2">
        <v>4.3049999999999997</v>
      </c>
      <c r="AI95" s="2">
        <v>1.571</v>
      </c>
      <c r="AJ95" s="2">
        <v>34.64</v>
      </c>
      <c r="AK95" s="2">
        <v>1.0980000000000001</v>
      </c>
      <c r="AL95" s="2">
        <v>53.58</v>
      </c>
      <c r="AM95" s="2">
        <v>15.76</v>
      </c>
      <c r="AN95" s="2"/>
      <c r="AO95" s="2">
        <v>0.66</v>
      </c>
      <c r="AP95" s="4">
        <v>10953.31</v>
      </c>
      <c r="AQ95" s="4">
        <v>785.92</v>
      </c>
      <c r="AR95" s="4">
        <v>12529.54</v>
      </c>
      <c r="AS95" s="2">
        <v>18.3</v>
      </c>
      <c r="AT95" s="2">
        <v>40.06</v>
      </c>
      <c r="AU95" s="2">
        <v>5.3</v>
      </c>
      <c r="AV95" s="2">
        <v>22.94</v>
      </c>
      <c r="AW95" s="2">
        <v>5.7460000000000004</v>
      </c>
      <c r="AX95" s="2">
        <v>1.798</v>
      </c>
      <c r="AY95" s="2">
        <v>6.2679999999999998</v>
      </c>
      <c r="AZ95" s="2">
        <v>0.97499999999999998</v>
      </c>
      <c r="BA95" s="2">
        <v>6.1079999999999997</v>
      </c>
      <c r="BB95" s="2">
        <v>1.24</v>
      </c>
      <c r="BC95" s="2">
        <v>3.4580000000000002</v>
      </c>
      <c r="BD95" s="2">
        <v>0.48399999999999999</v>
      </c>
      <c r="BE95" s="2">
        <v>3.0920000000000001</v>
      </c>
      <c r="BF95" s="2">
        <v>0.44700000000000001</v>
      </c>
      <c r="BG95" s="5" t="s">
        <v>96</v>
      </c>
    </row>
    <row r="96" spans="1:59" ht="15.75" x14ac:dyDescent="0.15">
      <c r="A96" s="2" t="s">
        <v>100</v>
      </c>
      <c r="B96" s="1" t="s">
        <v>174</v>
      </c>
      <c r="C96" s="1">
        <v>1320</v>
      </c>
      <c r="D96" s="2">
        <v>47.53</v>
      </c>
      <c r="E96" s="2">
        <v>2.14</v>
      </c>
      <c r="F96" s="2">
        <v>13.42</v>
      </c>
      <c r="G96" s="2">
        <v>15.96</v>
      </c>
      <c r="H96" s="2">
        <v>0.2</v>
      </c>
      <c r="I96" s="2">
        <v>6.18</v>
      </c>
      <c r="J96" s="2">
        <v>8.2200000000000006</v>
      </c>
      <c r="K96" s="2">
        <v>1.95</v>
      </c>
      <c r="L96" s="2">
        <v>1.32</v>
      </c>
      <c r="M96" s="2">
        <v>0.18</v>
      </c>
      <c r="N96" s="2">
        <v>2.12</v>
      </c>
      <c r="O96" s="2">
        <v>99.22</v>
      </c>
      <c r="P96" s="2"/>
      <c r="Q96" s="2">
        <f t="shared" si="1"/>
        <v>3.27</v>
      </c>
      <c r="R96" s="2">
        <v>0.69</v>
      </c>
      <c r="S96" s="2">
        <v>43.42</v>
      </c>
      <c r="T96" s="2">
        <v>412.8</v>
      </c>
      <c r="U96" s="2">
        <v>40.479999999999997</v>
      </c>
      <c r="V96" s="2">
        <v>252.4</v>
      </c>
      <c r="W96" s="2">
        <v>33.14</v>
      </c>
      <c r="X96" s="2">
        <v>151.19999999999999</v>
      </c>
      <c r="Y96" s="2">
        <v>17.100000000000001</v>
      </c>
      <c r="Z96" s="2">
        <v>2.8660000000000001</v>
      </c>
      <c r="AA96" s="2">
        <v>3.9319999999999999</v>
      </c>
      <c r="AB96" s="2">
        <v>21.44</v>
      </c>
      <c r="AC96" s="2">
        <v>117.1</v>
      </c>
      <c r="AD96" s="2">
        <v>109.6</v>
      </c>
      <c r="AE96" s="2">
        <v>111.6</v>
      </c>
      <c r="AF96" s="2">
        <v>406.2</v>
      </c>
      <c r="AG96" s="2">
        <v>100.3</v>
      </c>
      <c r="AH96" s="2">
        <v>3.8679999999999999</v>
      </c>
      <c r="AI96" s="2">
        <v>1.58</v>
      </c>
      <c r="AJ96" s="2">
        <v>37.36</v>
      </c>
      <c r="AK96" s="2">
        <v>1.052</v>
      </c>
      <c r="AL96" s="2">
        <v>55</v>
      </c>
      <c r="AM96" s="2">
        <v>16.48</v>
      </c>
      <c r="AN96" s="2"/>
      <c r="AO96" s="2">
        <v>0.58899999999999997</v>
      </c>
      <c r="AP96" s="4">
        <v>10953.31</v>
      </c>
      <c r="AQ96" s="4">
        <v>785.92</v>
      </c>
      <c r="AR96" s="4">
        <v>12829.29</v>
      </c>
      <c r="AS96" s="2">
        <v>17.82</v>
      </c>
      <c r="AT96" s="2">
        <v>39.18</v>
      </c>
      <c r="AU96" s="2">
        <v>5.2119999999999997</v>
      </c>
      <c r="AV96" s="2">
        <v>22.72</v>
      </c>
      <c r="AW96" s="2">
        <v>5.71</v>
      </c>
      <c r="AX96" s="2">
        <v>1.8240000000000001</v>
      </c>
      <c r="AY96" s="2">
        <v>6.2439999999999998</v>
      </c>
      <c r="AZ96" s="2">
        <v>0.96899999999999997</v>
      </c>
      <c r="BA96" s="2">
        <v>6.04</v>
      </c>
      <c r="BB96" s="2">
        <v>1.2170000000000001</v>
      </c>
      <c r="BC96" s="2">
        <v>3.4279999999999999</v>
      </c>
      <c r="BD96" s="2">
        <v>0.47</v>
      </c>
      <c r="BE96" s="2">
        <v>2.988</v>
      </c>
      <c r="BF96" s="2">
        <v>0.438</v>
      </c>
      <c r="BG96" s="5" t="s">
        <v>96</v>
      </c>
    </row>
    <row r="97" spans="1:59" ht="15.75" x14ac:dyDescent="0.15">
      <c r="A97" s="2" t="s">
        <v>101</v>
      </c>
      <c r="B97" s="1" t="s">
        <v>174</v>
      </c>
      <c r="C97" s="1">
        <v>1320</v>
      </c>
      <c r="D97" s="2">
        <v>47.82</v>
      </c>
      <c r="E97" s="2">
        <v>2.2799999999999998</v>
      </c>
      <c r="F97" s="2">
        <v>13.06</v>
      </c>
      <c r="G97" s="2">
        <v>16.18</v>
      </c>
      <c r="H97" s="2">
        <v>0.23</v>
      </c>
      <c r="I97" s="2">
        <v>5.66</v>
      </c>
      <c r="J97" s="2">
        <v>8.3000000000000007</v>
      </c>
      <c r="K97" s="2">
        <v>2.0299999999999998</v>
      </c>
      <c r="L97" s="2">
        <v>0.89</v>
      </c>
      <c r="M97" s="2">
        <v>0.23</v>
      </c>
      <c r="N97" s="2">
        <v>1.75</v>
      </c>
      <c r="O97" s="2">
        <v>98.43</v>
      </c>
      <c r="P97" s="2"/>
      <c r="Q97" s="2">
        <f t="shared" si="1"/>
        <v>2.92</v>
      </c>
      <c r="R97" s="2">
        <v>0.67</v>
      </c>
      <c r="S97" s="2">
        <v>40.94</v>
      </c>
      <c r="T97" s="2">
        <v>340.2</v>
      </c>
      <c r="U97" s="2">
        <v>31.88</v>
      </c>
      <c r="V97" s="2">
        <v>195.1</v>
      </c>
      <c r="W97" s="2">
        <v>33.299999999999997</v>
      </c>
      <c r="X97" s="2">
        <v>155.4</v>
      </c>
      <c r="Y97" s="2">
        <v>16.12</v>
      </c>
      <c r="Z97" s="2">
        <v>2.8759999999999999</v>
      </c>
      <c r="AA97" s="2">
        <v>4.1840000000000002</v>
      </c>
      <c r="AB97" s="2">
        <v>22.5</v>
      </c>
      <c r="AC97" s="2">
        <v>125.1</v>
      </c>
      <c r="AD97" s="2">
        <v>129.9</v>
      </c>
      <c r="AE97" s="2">
        <v>109.5</v>
      </c>
      <c r="AF97" s="2">
        <v>426</v>
      </c>
      <c r="AG97" s="2">
        <v>97.54</v>
      </c>
      <c r="AH97" s="2">
        <v>3.8679999999999999</v>
      </c>
      <c r="AI97" s="2">
        <v>1.7170000000000001</v>
      </c>
      <c r="AJ97" s="2">
        <v>37.28</v>
      </c>
      <c r="AK97" s="2">
        <v>1.0640000000000001</v>
      </c>
      <c r="AL97" s="2">
        <v>56.8</v>
      </c>
      <c r="AM97" s="2">
        <v>16.559999999999999</v>
      </c>
      <c r="AN97" s="2"/>
      <c r="AO97" s="2">
        <v>0.56799999999999995</v>
      </c>
      <c r="AP97" s="4">
        <v>7385.19</v>
      </c>
      <c r="AQ97" s="4">
        <v>1004.23</v>
      </c>
      <c r="AR97" s="4">
        <v>13668.59</v>
      </c>
      <c r="AS97" s="2">
        <v>17.5</v>
      </c>
      <c r="AT97" s="2">
        <v>39.299999999999997</v>
      </c>
      <c r="AU97" s="2">
        <v>5.1959999999999997</v>
      </c>
      <c r="AV97" s="2">
        <v>23.38</v>
      </c>
      <c r="AW97" s="2">
        <v>5.8680000000000003</v>
      </c>
      <c r="AX97" s="2">
        <v>1.875</v>
      </c>
      <c r="AY97" s="2">
        <v>6.3220000000000001</v>
      </c>
      <c r="AZ97" s="2">
        <v>0.996</v>
      </c>
      <c r="BA97" s="2">
        <v>6.3620000000000001</v>
      </c>
      <c r="BB97" s="2">
        <v>1.2709999999999999</v>
      </c>
      <c r="BC97" s="2">
        <v>3.552</v>
      </c>
      <c r="BD97" s="2">
        <v>0.49099999999999999</v>
      </c>
      <c r="BE97" s="2">
        <v>3.1539999999999999</v>
      </c>
      <c r="BF97" s="2">
        <v>0.46500000000000002</v>
      </c>
      <c r="BG97" s="5" t="s">
        <v>96</v>
      </c>
    </row>
    <row r="98" spans="1:59" ht="15.75" x14ac:dyDescent="0.15">
      <c r="A98" s="2" t="s">
        <v>102</v>
      </c>
      <c r="B98" s="1" t="s">
        <v>174</v>
      </c>
      <c r="C98" s="1">
        <v>1320</v>
      </c>
      <c r="D98" s="2">
        <v>47.66</v>
      </c>
      <c r="E98" s="2">
        <v>1.66</v>
      </c>
      <c r="F98" s="2">
        <v>14.28</v>
      </c>
      <c r="G98" s="2">
        <v>14.03</v>
      </c>
      <c r="H98" s="2">
        <v>0.18</v>
      </c>
      <c r="I98" s="2">
        <v>6.86</v>
      </c>
      <c r="J98" s="2">
        <v>9.0299999999999994</v>
      </c>
      <c r="K98" s="2">
        <v>2.35</v>
      </c>
      <c r="L98" s="2">
        <v>0.73</v>
      </c>
      <c r="M98" s="2">
        <v>0.2</v>
      </c>
      <c r="N98" s="2">
        <v>2.12</v>
      </c>
      <c r="O98" s="2">
        <v>99.1</v>
      </c>
      <c r="P98" s="2"/>
      <c r="Q98" s="2">
        <f t="shared" si="1"/>
        <v>3.08</v>
      </c>
      <c r="R98" s="2">
        <v>0.68</v>
      </c>
      <c r="S98" s="2">
        <v>49.22</v>
      </c>
      <c r="T98" s="2">
        <v>148.6</v>
      </c>
      <c r="U98" s="2">
        <v>29.14</v>
      </c>
      <c r="V98" s="2">
        <v>229.8</v>
      </c>
      <c r="W98" s="2">
        <v>24.6</v>
      </c>
      <c r="X98" s="2">
        <v>120.2</v>
      </c>
      <c r="Y98" s="2">
        <v>10.37</v>
      </c>
      <c r="Z98" s="2">
        <v>2.0920000000000001</v>
      </c>
      <c r="AA98" s="2">
        <v>3.3</v>
      </c>
      <c r="AB98" s="2">
        <v>21.42</v>
      </c>
      <c r="AC98" s="2">
        <v>139.19999999999999</v>
      </c>
      <c r="AD98" s="2">
        <v>97.08</v>
      </c>
      <c r="AE98" s="2">
        <v>120.3</v>
      </c>
      <c r="AF98" s="2">
        <v>336.8</v>
      </c>
      <c r="AG98" s="2">
        <v>187.2</v>
      </c>
      <c r="AH98" s="2">
        <v>2.8959999999999999</v>
      </c>
      <c r="AI98" s="2">
        <v>4.82</v>
      </c>
      <c r="AJ98" s="2">
        <v>33.78</v>
      </c>
      <c r="AK98" s="2">
        <v>0.71499999999999997</v>
      </c>
      <c r="AL98" s="2">
        <v>58.86</v>
      </c>
      <c r="AM98" s="2">
        <v>17.36</v>
      </c>
      <c r="AN98" s="2"/>
      <c r="AO98" s="2">
        <v>0.40400000000000003</v>
      </c>
      <c r="AP98" s="4">
        <v>6057.51</v>
      </c>
      <c r="AQ98" s="4">
        <v>873.24</v>
      </c>
      <c r="AR98" s="4">
        <v>9951.69</v>
      </c>
      <c r="AS98" s="2">
        <v>13.22</v>
      </c>
      <c r="AT98" s="2">
        <v>29.38</v>
      </c>
      <c r="AU98" s="2">
        <v>3.9140000000000001</v>
      </c>
      <c r="AV98" s="2">
        <v>17.170000000000002</v>
      </c>
      <c r="AW98" s="2">
        <v>4.3780000000000001</v>
      </c>
      <c r="AX98" s="2">
        <v>1.458</v>
      </c>
      <c r="AY98" s="2">
        <v>4.6879999999999997</v>
      </c>
      <c r="AZ98" s="2">
        <v>0.73399999999999999</v>
      </c>
      <c r="BA98" s="2">
        <v>4.7</v>
      </c>
      <c r="BB98" s="2">
        <v>0.92900000000000005</v>
      </c>
      <c r="BC98" s="2">
        <v>2.65</v>
      </c>
      <c r="BD98" s="2">
        <v>0.35899999999999999</v>
      </c>
      <c r="BE98" s="2">
        <v>2.3740000000000001</v>
      </c>
      <c r="BF98" s="2">
        <v>0.34799999999999998</v>
      </c>
      <c r="BG98" s="5" t="s">
        <v>96</v>
      </c>
    </row>
    <row r="99" spans="1:59" ht="15.75" x14ac:dyDescent="0.15">
      <c r="A99" s="2" t="s">
        <v>103</v>
      </c>
      <c r="B99" s="1" t="s">
        <v>174</v>
      </c>
      <c r="C99" s="1">
        <v>1320</v>
      </c>
      <c r="D99" s="2">
        <v>48.05</v>
      </c>
      <c r="E99" s="2">
        <v>2.19</v>
      </c>
      <c r="F99" s="2">
        <v>13.2</v>
      </c>
      <c r="G99" s="2">
        <v>15.45</v>
      </c>
      <c r="H99" s="2">
        <v>0.2</v>
      </c>
      <c r="I99" s="2">
        <v>6.88</v>
      </c>
      <c r="J99" s="2">
        <v>9.34</v>
      </c>
      <c r="K99" s="2">
        <v>1.77</v>
      </c>
      <c r="L99" s="2">
        <v>0.63</v>
      </c>
      <c r="M99" s="2">
        <v>7.0000000000000007E-2</v>
      </c>
      <c r="N99" s="2">
        <v>2.2000000000000002</v>
      </c>
      <c r="O99" s="2">
        <v>99.98</v>
      </c>
      <c r="P99" s="2"/>
      <c r="Q99" s="2">
        <f t="shared" si="1"/>
        <v>2.4</v>
      </c>
      <c r="R99" s="2">
        <v>0.64</v>
      </c>
      <c r="S99" s="2">
        <v>46.88</v>
      </c>
      <c r="T99" s="2">
        <v>138</v>
      </c>
      <c r="U99" s="2">
        <v>22.4</v>
      </c>
      <c r="V99" s="2">
        <v>205</v>
      </c>
      <c r="W99" s="2">
        <v>25.6</v>
      </c>
      <c r="X99" s="2">
        <v>235</v>
      </c>
      <c r="Y99" s="2">
        <v>11.2</v>
      </c>
      <c r="Z99" s="2">
        <v>2.15</v>
      </c>
      <c r="AA99" s="2">
        <v>3.53</v>
      </c>
      <c r="AB99" s="2">
        <v>19.7</v>
      </c>
      <c r="AC99" s="2">
        <v>137</v>
      </c>
      <c r="AD99" s="2">
        <v>109</v>
      </c>
      <c r="AE99" s="2">
        <v>116</v>
      </c>
      <c r="AF99" s="2">
        <v>418</v>
      </c>
      <c r="AG99" s="2">
        <v>224</v>
      </c>
      <c r="AH99" s="2">
        <v>5.83</v>
      </c>
      <c r="AI99" s="2">
        <v>1.33</v>
      </c>
      <c r="AJ99" s="2">
        <v>40.6</v>
      </c>
      <c r="AK99" s="2">
        <v>0.87</v>
      </c>
      <c r="AL99" s="2">
        <v>64</v>
      </c>
      <c r="AM99" s="2">
        <v>12.6</v>
      </c>
      <c r="AN99" s="2">
        <v>1.1299999999999999</v>
      </c>
      <c r="AO99" s="2">
        <v>0.39</v>
      </c>
      <c r="AP99" s="4">
        <v>5227.72</v>
      </c>
      <c r="AQ99" s="4">
        <v>305.63</v>
      </c>
      <c r="AR99" s="4">
        <v>13129.04</v>
      </c>
      <c r="AS99" s="2">
        <v>8.07</v>
      </c>
      <c r="AT99" s="2">
        <v>18.7</v>
      </c>
      <c r="AU99" s="2">
        <v>2.5299999999999998</v>
      </c>
      <c r="AV99" s="2">
        <v>11.5</v>
      </c>
      <c r="AW99" s="2">
        <v>3.18</v>
      </c>
      <c r="AX99" s="2">
        <v>1.51</v>
      </c>
      <c r="AY99" s="2">
        <v>3.24</v>
      </c>
      <c r="AZ99" s="2">
        <v>0.82</v>
      </c>
      <c r="BA99" s="2">
        <v>4.62</v>
      </c>
      <c r="BB99" s="2">
        <v>0.96</v>
      </c>
      <c r="BC99" s="2">
        <v>2.9</v>
      </c>
      <c r="BD99" s="2">
        <v>0.47</v>
      </c>
      <c r="BE99" s="2">
        <v>2.94</v>
      </c>
      <c r="BF99" s="2">
        <v>0.5</v>
      </c>
      <c r="BG99" s="5" t="s">
        <v>80</v>
      </c>
    </row>
    <row r="100" spans="1:59" ht="15.75" x14ac:dyDescent="0.15">
      <c r="A100" s="2" t="s">
        <v>104</v>
      </c>
      <c r="B100" s="1" t="s">
        <v>174</v>
      </c>
      <c r="C100" s="1">
        <v>1320</v>
      </c>
      <c r="D100" s="2">
        <v>49.44</v>
      </c>
      <c r="E100" s="2">
        <v>2.2999999999999998</v>
      </c>
      <c r="F100" s="2">
        <v>13.67</v>
      </c>
      <c r="G100" s="2">
        <v>15.79</v>
      </c>
      <c r="H100" s="2">
        <v>0.2</v>
      </c>
      <c r="I100" s="2">
        <v>4.9400000000000004</v>
      </c>
      <c r="J100" s="2">
        <v>7.38</v>
      </c>
      <c r="K100" s="2">
        <v>1.95</v>
      </c>
      <c r="L100" s="2">
        <v>0.91</v>
      </c>
      <c r="M100" s="2">
        <v>0.23</v>
      </c>
      <c r="N100" s="2">
        <v>3.39</v>
      </c>
      <c r="O100" s="2">
        <v>100.2</v>
      </c>
      <c r="P100" s="2"/>
      <c r="Q100" s="2">
        <f t="shared" si="1"/>
        <v>2.86</v>
      </c>
      <c r="R100" s="2">
        <v>0.78</v>
      </c>
      <c r="S100" s="2">
        <v>38.26</v>
      </c>
      <c r="T100" s="2">
        <v>443.4</v>
      </c>
      <c r="U100" s="2">
        <v>35.799999999999997</v>
      </c>
      <c r="V100" s="2">
        <v>210.2</v>
      </c>
      <c r="W100" s="2">
        <v>33.299999999999997</v>
      </c>
      <c r="X100" s="2">
        <v>156.5</v>
      </c>
      <c r="Y100" s="2">
        <v>16.21</v>
      </c>
      <c r="Z100" s="2">
        <v>2.98</v>
      </c>
      <c r="AA100" s="2">
        <v>4.1879999999999997</v>
      </c>
      <c r="AB100" s="2">
        <v>22.06</v>
      </c>
      <c r="AC100" s="2">
        <v>129.19999999999999</v>
      </c>
      <c r="AD100" s="2">
        <v>119.7</v>
      </c>
      <c r="AE100" s="2">
        <v>84.84</v>
      </c>
      <c r="AF100" s="2">
        <v>416.6</v>
      </c>
      <c r="AG100" s="2">
        <v>85.74</v>
      </c>
      <c r="AH100" s="2">
        <v>3.823</v>
      </c>
      <c r="AI100" s="2">
        <v>1.8620000000000001</v>
      </c>
      <c r="AJ100" s="2">
        <v>36.520000000000003</v>
      </c>
      <c r="AK100" s="2">
        <v>1.135</v>
      </c>
      <c r="AL100" s="2">
        <v>51.88</v>
      </c>
      <c r="AM100" s="2">
        <v>20.38</v>
      </c>
      <c r="AN100" s="2"/>
      <c r="AO100" s="2">
        <v>0.41699999999999998</v>
      </c>
      <c r="AP100" s="4">
        <v>7551.15</v>
      </c>
      <c r="AQ100" s="4">
        <v>1004.23</v>
      </c>
      <c r="AR100" s="4">
        <v>13788.49</v>
      </c>
      <c r="AS100" s="2">
        <v>17.96</v>
      </c>
      <c r="AT100" s="2">
        <v>39.5</v>
      </c>
      <c r="AU100" s="2">
        <v>5.2640000000000002</v>
      </c>
      <c r="AV100" s="2">
        <v>23.38</v>
      </c>
      <c r="AW100" s="2">
        <v>5.88</v>
      </c>
      <c r="AX100" s="2">
        <v>1.8680000000000001</v>
      </c>
      <c r="AY100" s="2">
        <v>6.3840000000000003</v>
      </c>
      <c r="AZ100" s="2">
        <v>0.99099999999999999</v>
      </c>
      <c r="BA100" s="2">
        <v>6.234</v>
      </c>
      <c r="BB100" s="2">
        <v>1.266</v>
      </c>
      <c r="BC100" s="2">
        <v>3.53</v>
      </c>
      <c r="BD100" s="2">
        <v>0.48699999999999999</v>
      </c>
      <c r="BE100" s="2">
        <v>3.1040000000000001</v>
      </c>
      <c r="BF100" s="2">
        <v>0.46600000000000003</v>
      </c>
      <c r="BG100" s="5" t="s">
        <v>96</v>
      </c>
    </row>
    <row r="101" spans="1:59" ht="15.75" x14ac:dyDescent="0.15">
      <c r="A101" s="2" t="s">
        <v>105</v>
      </c>
      <c r="B101" s="1" t="s">
        <v>174</v>
      </c>
      <c r="C101" s="1">
        <v>1320</v>
      </c>
      <c r="D101" s="2">
        <v>46.76</v>
      </c>
      <c r="E101" s="2">
        <v>2.66</v>
      </c>
      <c r="F101" s="2">
        <v>14.36</v>
      </c>
      <c r="G101" s="2">
        <v>13.68</v>
      </c>
      <c r="H101" s="2">
        <v>0.1</v>
      </c>
      <c r="I101" s="2">
        <v>8.85</v>
      </c>
      <c r="J101" s="2">
        <v>2.31</v>
      </c>
      <c r="K101" s="2">
        <v>3.71</v>
      </c>
      <c r="L101" s="2">
        <v>0.34</v>
      </c>
      <c r="M101" s="2">
        <v>0.24</v>
      </c>
      <c r="N101" s="2">
        <v>6.33</v>
      </c>
      <c r="O101" s="2">
        <v>99.34</v>
      </c>
      <c r="P101" s="2"/>
      <c r="Q101" s="2">
        <f t="shared" si="1"/>
        <v>4.05</v>
      </c>
      <c r="R101" s="2">
        <v>1.35</v>
      </c>
      <c r="S101" s="2">
        <v>56.17</v>
      </c>
      <c r="T101" s="2">
        <v>133.19999999999999</v>
      </c>
      <c r="U101" s="2">
        <v>19.91</v>
      </c>
      <c r="V101" s="2">
        <v>58.22</v>
      </c>
      <c r="W101" s="2">
        <v>27.22</v>
      </c>
      <c r="X101" s="2">
        <v>167.9</v>
      </c>
      <c r="Y101" s="2">
        <v>17.739999999999998</v>
      </c>
      <c r="Z101" s="2">
        <v>3.1280000000000001</v>
      </c>
      <c r="AA101" s="2">
        <v>59.3</v>
      </c>
      <c r="AB101" s="2">
        <v>24.74</v>
      </c>
      <c r="AC101" s="2">
        <v>257.60000000000002</v>
      </c>
      <c r="AD101" s="2">
        <v>136.6</v>
      </c>
      <c r="AE101" s="2">
        <v>100.4</v>
      </c>
      <c r="AF101" s="2">
        <v>479.4</v>
      </c>
      <c r="AG101" s="2">
        <v>120.5</v>
      </c>
      <c r="AH101" s="2">
        <v>4.1420000000000003</v>
      </c>
      <c r="AI101" s="2">
        <v>2.9420000000000002</v>
      </c>
      <c r="AJ101" s="2">
        <v>43.32</v>
      </c>
      <c r="AK101" s="2">
        <v>1.171</v>
      </c>
      <c r="AL101" s="2">
        <v>56.98</v>
      </c>
      <c r="AM101" s="2">
        <v>76.84</v>
      </c>
      <c r="AN101" s="2"/>
      <c r="AO101" s="2">
        <v>0.61299999999999999</v>
      </c>
      <c r="AP101" s="4">
        <v>2821.31</v>
      </c>
      <c r="AQ101" s="4">
        <v>1047.8900000000001</v>
      </c>
      <c r="AR101" s="4">
        <v>15946.68</v>
      </c>
      <c r="AS101" s="2">
        <v>17.149999999999999</v>
      </c>
      <c r="AT101" s="2">
        <v>38.36</v>
      </c>
      <c r="AU101" s="2">
        <v>5.0979999999999999</v>
      </c>
      <c r="AV101" s="2">
        <v>22.12</v>
      </c>
      <c r="AW101" s="2">
        <v>5.3879999999999999</v>
      </c>
      <c r="AX101" s="2">
        <v>1.135</v>
      </c>
      <c r="AY101" s="2">
        <v>5.5780000000000003</v>
      </c>
      <c r="AZ101" s="2">
        <v>0.89200000000000002</v>
      </c>
      <c r="BA101" s="2">
        <v>5.5880000000000001</v>
      </c>
      <c r="BB101" s="2">
        <v>1.119</v>
      </c>
      <c r="BC101" s="2">
        <v>3.1659999999999999</v>
      </c>
      <c r="BD101" s="2">
        <v>0.44900000000000001</v>
      </c>
      <c r="BE101" s="2">
        <v>2.95</v>
      </c>
      <c r="BF101" s="2">
        <v>0.42099999999999999</v>
      </c>
      <c r="BG101" s="5" t="s">
        <v>96</v>
      </c>
    </row>
    <row r="102" spans="1:59" ht="15.75" x14ac:dyDescent="0.15">
      <c r="A102" s="2" t="s">
        <v>106</v>
      </c>
      <c r="B102" s="1" t="s">
        <v>174</v>
      </c>
      <c r="C102" s="1">
        <v>1320</v>
      </c>
      <c r="D102" s="2">
        <v>49.73</v>
      </c>
      <c r="E102" s="2">
        <v>2.5299999999999998</v>
      </c>
      <c r="F102" s="2">
        <v>14.35</v>
      </c>
      <c r="G102" s="2">
        <v>15.28</v>
      </c>
      <c r="H102" s="2">
        <v>0.17</v>
      </c>
      <c r="I102" s="2">
        <v>5.97</v>
      </c>
      <c r="J102" s="2">
        <v>1.35</v>
      </c>
      <c r="K102" s="2">
        <v>2.98</v>
      </c>
      <c r="L102" s="2">
        <v>1.01</v>
      </c>
      <c r="M102" s="2">
        <v>0.24</v>
      </c>
      <c r="N102" s="2">
        <v>5.99</v>
      </c>
      <c r="O102" s="2">
        <v>99.6</v>
      </c>
      <c r="P102" s="2"/>
      <c r="Q102" s="2">
        <f t="shared" si="1"/>
        <v>3.99</v>
      </c>
      <c r="R102" s="2">
        <v>1.7</v>
      </c>
      <c r="S102" s="2">
        <v>43.63</v>
      </c>
      <c r="T102" s="2">
        <v>235.5</v>
      </c>
      <c r="U102" s="2">
        <v>16.14</v>
      </c>
      <c r="V102" s="2">
        <v>52.14</v>
      </c>
      <c r="W102" s="2">
        <v>29.3</v>
      </c>
      <c r="X102" s="2">
        <v>159.85</v>
      </c>
      <c r="Y102" s="2">
        <v>10.42</v>
      </c>
      <c r="Z102" s="2">
        <v>3.36</v>
      </c>
      <c r="AA102" s="2">
        <v>1.67</v>
      </c>
      <c r="AB102" s="2">
        <v>20.36</v>
      </c>
      <c r="AC102" s="2">
        <v>83.13</v>
      </c>
      <c r="AD102" s="2">
        <v>75.53</v>
      </c>
      <c r="AE102" s="2">
        <v>83.74</v>
      </c>
      <c r="AF102" s="2">
        <v>427.33</v>
      </c>
      <c r="AG102" s="2">
        <v>101.18</v>
      </c>
      <c r="AH102" s="2">
        <v>4.4800000000000004</v>
      </c>
      <c r="AI102" s="2">
        <v>0.66</v>
      </c>
      <c r="AJ102" s="2">
        <v>36.630000000000003</v>
      </c>
      <c r="AK102" s="2">
        <v>0.86</v>
      </c>
      <c r="AL102" s="2">
        <v>49.49</v>
      </c>
      <c r="AM102" s="2">
        <v>62.36</v>
      </c>
      <c r="AN102" s="2">
        <v>1.03</v>
      </c>
      <c r="AO102" s="2">
        <v>0.78</v>
      </c>
      <c r="AP102" s="4">
        <v>8380.94</v>
      </c>
      <c r="AQ102" s="4">
        <v>1047.8900000000001</v>
      </c>
      <c r="AR102" s="4">
        <v>15167.33</v>
      </c>
      <c r="AS102" s="2">
        <v>18.14</v>
      </c>
      <c r="AT102" s="2">
        <v>35.909999999999997</v>
      </c>
      <c r="AU102" s="2">
        <v>5.07</v>
      </c>
      <c r="AV102" s="2">
        <v>22.39</v>
      </c>
      <c r="AW102" s="2">
        <v>5.3</v>
      </c>
      <c r="AX102" s="2">
        <v>1.24</v>
      </c>
      <c r="AY102" s="2">
        <v>5.89</v>
      </c>
      <c r="AZ102" s="2">
        <v>0.79</v>
      </c>
      <c r="BA102" s="2">
        <v>5.62</v>
      </c>
      <c r="BB102" s="2">
        <v>1.28</v>
      </c>
      <c r="BC102" s="2">
        <v>3.83</v>
      </c>
      <c r="BD102" s="2">
        <v>0.56000000000000005</v>
      </c>
      <c r="BE102" s="2">
        <v>3.27</v>
      </c>
      <c r="BF102" s="2">
        <v>0.54</v>
      </c>
      <c r="BG102" s="5" t="s">
        <v>27</v>
      </c>
    </row>
    <row r="103" spans="1:59" ht="15.75" x14ac:dyDescent="0.15">
      <c r="A103" s="2" t="s">
        <v>107</v>
      </c>
      <c r="B103" s="1" t="s">
        <v>174</v>
      </c>
      <c r="C103" s="1">
        <v>1320</v>
      </c>
      <c r="D103" s="2">
        <v>49.29</v>
      </c>
      <c r="E103" s="2">
        <v>2.52</v>
      </c>
      <c r="F103" s="2">
        <v>14.45</v>
      </c>
      <c r="G103" s="2">
        <v>15.46</v>
      </c>
      <c r="H103" s="2">
        <v>0.24</v>
      </c>
      <c r="I103" s="2">
        <v>7.45</v>
      </c>
      <c r="J103" s="2">
        <v>1.46</v>
      </c>
      <c r="K103" s="2">
        <v>3.12</v>
      </c>
      <c r="L103" s="2">
        <v>0.95</v>
      </c>
      <c r="M103" s="2">
        <v>0.24</v>
      </c>
      <c r="N103" s="2">
        <v>4.9000000000000004</v>
      </c>
      <c r="O103" s="2">
        <v>100.08</v>
      </c>
      <c r="P103" s="2"/>
      <c r="Q103" s="2">
        <f t="shared" si="1"/>
        <v>4.07</v>
      </c>
      <c r="R103" s="2">
        <v>1.64</v>
      </c>
      <c r="S103" s="2">
        <v>48.85</v>
      </c>
      <c r="T103" s="2">
        <v>201.7</v>
      </c>
      <c r="U103" s="2">
        <v>17</v>
      </c>
      <c r="V103" s="2">
        <v>56.71</v>
      </c>
      <c r="W103" s="2">
        <v>30.87</v>
      </c>
      <c r="X103" s="2">
        <v>173.45</v>
      </c>
      <c r="Y103" s="2">
        <v>10.84</v>
      </c>
      <c r="Z103" s="2">
        <v>2.98</v>
      </c>
      <c r="AA103" s="2">
        <v>1.59</v>
      </c>
      <c r="AB103" s="2">
        <v>22.71</v>
      </c>
      <c r="AC103" s="2">
        <v>93.14</v>
      </c>
      <c r="AD103" s="2">
        <v>78.739999999999995</v>
      </c>
      <c r="AE103" s="2">
        <v>86.59</v>
      </c>
      <c r="AF103" s="2">
        <v>447.35</v>
      </c>
      <c r="AG103" s="2">
        <v>113.02</v>
      </c>
      <c r="AH103" s="2">
        <v>4.6100000000000003</v>
      </c>
      <c r="AI103" s="2">
        <v>1.74</v>
      </c>
      <c r="AJ103" s="2">
        <v>37.950000000000003</v>
      </c>
      <c r="AK103" s="2">
        <v>0.92</v>
      </c>
      <c r="AL103" s="2">
        <v>44.97</v>
      </c>
      <c r="AM103" s="2">
        <v>37.96</v>
      </c>
      <c r="AN103" s="2">
        <v>1.22</v>
      </c>
      <c r="AO103" s="2">
        <v>0.67</v>
      </c>
      <c r="AP103" s="4">
        <v>7883.06</v>
      </c>
      <c r="AQ103" s="4">
        <v>1047.8900000000001</v>
      </c>
      <c r="AR103" s="4">
        <v>15107.38</v>
      </c>
      <c r="AS103" s="2">
        <v>16.850000000000001</v>
      </c>
      <c r="AT103" s="2">
        <v>38.58</v>
      </c>
      <c r="AU103" s="2">
        <v>5</v>
      </c>
      <c r="AV103" s="2">
        <v>22.26</v>
      </c>
      <c r="AW103" s="2">
        <v>5.52</v>
      </c>
      <c r="AX103" s="2">
        <v>1.46</v>
      </c>
      <c r="AY103" s="2">
        <v>5.67</v>
      </c>
      <c r="AZ103" s="2">
        <v>0.82</v>
      </c>
      <c r="BA103" s="2">
        <v>6.11</v>
      </c>
      <c r="BB103" s="2">
        <v>1.3</v>
      </c>
      <c r="BC103" s="2">
        <v>3.69</v>
      </c>
      <c r="BD103" s="2">
        <v>0.59</v>
      </c>
      <c r="BE103" s="2">
        <v>3.43</v>
      </c>
      <c r="BF103" s="2">
        <v>0.57999999999999996</v>
      </c>
      <c r="BG103" s="5" t="s">
        <v>27</v>
      </c>
    </row>
    <row r="104" spans="1:59" ht="15.75" x14ac:dyDescent="0.15">
      <c r="A104" s="2" t="s">
        <v>108</v>
      </c>
      <c r="B104" s="1" t="s">
        <v>174</v>
      </c>
      <c r="C104" s="1">
        <v>1320</v>
      </c>
      <c r="D104" s="2">
        <v>50.05</v>
      </c>
      <c r="E104" s="2">
        <v>2.09</v>
      </c>
      <c r="F104" s="2">
        <v>14.59</v>
      </c>
      <c r="G104" s="2">
        <v>14.54</v>
      </c>
      <c r="H104" s="2">
        <v>0.19</v>
      </c>
      <c r="I104" s="2">
        <v>5.16</v>
      </c>
      <c r="J104" s="2">
        <v>7.8</v>
      </c>
      <c r="K104" s="2">
        <v>1.8</v>
      </c>
      <c r="L104" s="2">
        <v>1.25</v>
      </c>
      <c r="M104" s="2">
        <v>0.18</v>
      </c>
      <c r="N104" s="2">
        <v>2.4300000000000002</v>
      </c>
      <c r="O104" s="2">
        <v>100.08</v>
      </c>
      <c r="P104" s="2"/>
      <c r="Q104" s="2">
        <f t="shared" si="1"/>
        <v>3.05</v>
      </c>
      <c r="R104" s="2">
        <v>0.79</v>
      </c>
      <c r="S104" s="2">
        <v>41.29</v>
      </c>
      <c r="T104" s="2">
        <v>285.39999999999998</v>
      </c>
      <c r="U104" s="2">
        <v>40.270000000000003</v>
      </c>
      <c r="V104" s="2">
        <v>167.95</v>
      </c>
      <c r="W104" s="2">
        <v>21.89</v>
      </c>
      <c r="X104" s="2">
        <v>126.65</v>
      </c>
      <c r="Y104" s="2">
        <v>8.1999999999999993</v>
      </c>
      <c r="Z104" s="2">
        <v>3</v>
      </c>
      <c r="AA104" s="2">
        <v>3.29</v>
      </c>
      <c r="AB104" s="2">
        <v>20.329999999999998</v>
      </c>
      <c r="AC104" s="2">
        <v>69.97</v>
      </c>
      <c r="AD104" s="2">
        <v>17.510000000000002</v>
      </c>
      <c r="AE104" s="2">
        <v>68.17</v>
      </c>
      <c r="AF104" s="2">
        <v>357.89</v>
      </c>
      <c r="AG104" s="2">
        <v>69</v>
      </c>
      <c r="AH104" s="2">
        <v>3.48</v>
      </c>
      <c r="AI104" s="2">
        <v>1.31</v>
      </c>
      <c r="AJ104" s="2">
        <v>27.78</v>
      </c>
      <c r="AK104" s="2">
        <v>0.66</v>
      </c>
      <c r="AL104" s="2">
        <v>41.19</v>
      </c>
      <c r="AM104" s="2">
        <v>19.72</v>
      </c>
      <c r="AN104" s="2">
        <v>0.81</v>
      </c>
      <c r="AO104" s="2">
        <v>0.64</v>
      </c>
      <c r="AP104" s="4">
        <v>10372.450000000001</v>
      </c>
      <c r="AQ104" s="4">
        <v>785.92</v>
      </c>
      <c r="AR104" s="4">
        <v>12529.54</v>
      </c>
      <c r="AS104" s="2">
        <v>14.89</v>
      </c>
      <c r="AT104" s="2">
        <v>32.82</v>
      </c>
      <c r="AU104" s="2">
        <v>4.2</v>
      </c>
      <c r="AV104" s="2">
        <v>18.420000000000002</v>
      </c>
      <c r="AW104" s="2">
        <v>4.33</v>
      </c>
      <c r="AX104" s="2">
        <v>1.68</v>
      </c>
      <c r="AY104" s="2">
        <v>4.3499999999999996</v>
      </c>
      <c r="AZ104" s="2">
        <v>0.67</v>
      </c>
      <c r="BA104" s="2">
        <v>4.59</v>
      </c>
      <c r="BB104" s="2">
        <v>1</v>
      </c>
      <c r="BC104" s="2">
        <v>2.72</v>
      </c>
      <c r="BD104" s="2">
        <v>0.39</v>
      </c>
      <c r="BE104" s="2">
        <v>2.4</v>
      </c>
      <c r="BF104" s="2">
        <v>0.37</v>
      </c>
      <c r="BG104" s="5" t="s">
        <v>27</v>
      </c>
    </row>
    <row r="105" spans="1:59" ht="15.75" x14ac:dyDescent="0.15">
      <c r="A105" s="2" t="s">
        <v>109</v>
      </c>
      <c r="B105" s="1" t="s">
        <v>174</v>
      </c>
      <c r="C105" s="1">
        <v>1320</v>
      </c>
      <c r="D105" s="2">
        <v>49.35</v>
      </c>
      <c r="E105" s="2">
        <v>2.2200000000000002</v>
      </c>
      <c r="F105" s="2">
        <v>13.97</v>
      </c>
      <c r="G105" s="2">
        <v>14.93</v>
      </c>
      <c r="H105" s="2">
        <v>0.18</v>
      </c>
      <c r="I105" s="2">
        <v>5.05</v>
      </c>
      <c r="J105" s="2">
        <v>7.69</v>
      </c>
      <c r="K105" s="2">
        <v>1.96</v>
      </c>
      <c r="L105" s="2">
        <v>1.88</v>
      </c>
      <c r="M105" s="2">
        <v>0.2</v>
      </c>
      <c r="N105" s="2">
        <v>2.12</v>
      </c>
      <c r="O105" s="2">
        <v>99.55</v>
      </c>
      <c r="P105" s="2"/>
      <c r="Q105" s="2">
        <f t="shared" si="1"/>
        <v>3.84</v>
      </c>
      <c r="R105" s="2">
        <v>0.73</v>
      </c>
      <c r="S105" s="2">
        <v>40.130000000000003</v>
      </c>
      <c r="T105" s="2">
        <v>634.5</v>
      </c>
      <c r="U105" s="2">
        <v>53.82</v>
      </c>
      <c r="V105" s="2">
        <v>244.7</v>
      </c>
      <c r="W105" s="2">
        <v>29.38</v>
      </c>
      <c r="X105" s="2">
        <v>136.96</v>
      </c>
      <c r="Y105" s="2">
        <v>9.73</v>
      </c>
      <c r="Z105" s="2">
        <v>2.41</v>
      </c>
      <c r="AA105" s="2">
        <v>3.06</v>
      </c>
      <c r="AB105" s="2">
        <v>20.440000000000001</v>
      </c>
      <c r="AC105" s="2">
        <v>122.5</v>
      </c>
      <c r="AD105" s="2">
        <v>63.59</v>
      </c>
      <c r="AE105" s="2">
        <v>56.45</v>
      </c>
      <c r="AF105" s="2">
        <v>422.39</v>
      </c>
      <c r="AG105" s="2">
        <v>121.18</v>
      </c>
      <c r="AH105" s="2">
        <v>3.85</v>
      </c>
      <c r="AI105" s="2">
        <v>2.63</v>
      </c>
      <c r="AJ105" s="2">
        <v>35.950000000000003</v>
      </c>
      <c r="AK105" s="2">
        <v>0.77</v>
      </c>
      <c r="AL105" s="2">
        <v>41.23</v>
      </c>
      <c r="AM105" s="2">
        <v>28</v>
      </c>
      <c r="AN105" s="2">
        <v>0.79</v>
      </c>
      <c r="AO105" s="2">
        <v>0.48</v>
      </c>
      <c r="AP105" s="4">
        <v>15600.17</v>
      </c>
      <c r="AQ105" s="4">
        <v>873.24</v>
      </c>
      <c r="AR105" s="4">
        <v>13308.89</v>
      </c>
      <c r="AS105" s="2">
        <v>15.78</v>
      </c>
      <c r="AT105" s="2">
        <v>35.24</v>
      </c>
      <c r="AU105" s="2">
        <v>4.51</v>
      </c>
      <c r="AV105" s="2">
        <v>20.65</v>
      </c>
      <c r="AW105" s="2">
        <v>5.17</v>
      </c>
      <c r="AX105" s="2">
        <v>1.74</v>
      </c>
      <c r="AY105" s="2">
        <v>5.48</v>
      </c>
      <c r="AZ105" s="2">
        <v>0.76</v>
      </c>
      <c r="BA105" s="2">
        <v>6.04</v>
      </c>
      <c r="BB105" s="2">
        <v>1.31</v>
      </c>
      <c r="BC105" s="2">
        <v>3.65</v>
      </c>
      <c r="BD105" s="2">
        <v>0.53</v>
      </c>
      <c r="BE105" s="2">
        <v>3.01</v>
      </c>
      <c r="BF105" s="2">
        <v>0.51</v>
      </c>
      <c r="BG105" s="5" t="s">
        <v>27</v>
      </c>
    </row>
    <row r="106" spans="1:59" ht="15.75" x14ac:dyDescent="0.15">
      <c r="A106" s="2" t="s">
        <v>110</v>
      </c>
      <c r="B106" s="1" t="s">
        <v>174</v>
      </c>
      <c r="C106" s="1">
        <v>1320</v>
      </c>
      <c r="D106" s="2">
        <v>50.2</v>
      </c>
      <c r="E106" s="2">
        <v>1.93</v>
      </c>
      <c r="F106" s="2">
        <v>13.72</v>
      </c>
      <c r="G106" s="2">
        <v>14.33</v>
      </c>
      <c r="H106" s="2">
        <v>0.23</v>
      </c>
      <c r="I106" s="2">
        <v>6.63</v>
      </c>
      <c r="J106" s="2">
        <v>9.58</v>
      </c>
      <c r="K106" s="2">
        <v>1.66</v>
      </c>
      <c r="L106" s="2">
        <v>0.62</v>
      </c>
      <c r="M106" s="2">
        <v>0.16</v>
      </c>
      <c r="N106" s="2">
        <v>1.2</v>
      </c>
      <c r="O106" s="2">
        <v>100.26</v>
      </c>
      <c r="P106" s="2"/>
      <c r="Q106" s="2">
        <f t="shared" si="1"/>
        <v>2.2799999999999998</v>
      </c>
      <c r="R106" s="2">
        <v>0.66</v>
      </c>
      <c r="S106" s="2">
        <v>47.84</v>
      </c>
      <c r="T106" s="2">
        <v>192.2</v>
      </c>
      <c r="U106" s="2">
        <v>16.21</v>
      </c>
      <c r="V106" s="2">
        <v>149.30000000000001</v>
      </c>
      <c r="W106" s="2">
        <v>17.7</v>
      </c>
      <c r="X106" s="2">
        <v>109.55</v>
      </c>
      <c r="Y106" s="2">
        <v>7.01</v>
      </c>
      <c r="Z106" s="2">
        <v>1.18</v>
      </c>
      <c r="AA106" s="2">
        <v>4.6399999999999997</v>
      </c>
      <c r="AB106" s="2">
        <v>18.2</v>
      </c>
      <c r="AC106" s="2">
        <v>78.19</v>
      </c>
      <c r="AD106" s="2">
        <v>56.36</v>
      </c>
      <c r="AE106" s="2">
        <v>80.739999999999995</v>
      </c>
      <c r="AF106" s="2">
        <v>359.11</v>
      </c>
      <c r="AG106" s="2">
        <v>116.43</v>
      </c>
      <c r="AH106" s="2">
        <v>3.22</v>
      </c>
      <c r="AI106" s="2">
        <v>1.1200000000000001</v>
      </c>
      <c r="AJ106" s="2">
        <v>5.82</v>
      </c>
      <c r="AK106" s="2">
        <v>0.56000000000000005</v>
      </c>
      <c r="AL106" s="2">
        <v>41.52</v>
      </c>
      <c r="AM106" s="2">
        <v>10.1</v>
      </c>
      <c r="AN106" s="2">
        <v>0.64</v>
      </c>
      <c r="AO106" s="2">
        <v>0.56000000000000005</v>
      </c>
      <c r="AP106" s="4">
        <v>5144.74</v>
      </c>
      <c r="AQ106" s="4">
        <v>698.59</v>
      </c>
      <c r="AR106" s="4">
        <v>11570.34</v>
      </c>
      <c r="AS106" s="2">
        <v>11.6</v>
      </c>
      <c r="AT106" s="2">
        <v>25.65</v>
      </c>
      <c r="AU106" s="2">
        <v>3.32</v>
      </c>
      <c r="AV106" s="2">
        <v>15.62</v>
      </c>
      <c r="AW106" s="2">
        <v>3.81</v>
      </c>
      <c r="AX106" s="2">
        <v>1.19</v>
      </c>
      <c r="AY106" s="2">
        <v>4.05</v>
      </c>
      <c r="AZ106" s="2">
        <v>0.55000000000000004</v>
      </c>
      <c r="BA106" s="2">
        <v>4.17</v>
      </c>
      <c r="BB106" s="2">
        <v>0.88</v>
      </c>
      <c r="BC106" s="2">
        <v>2.5099999999999998</v>
      </c>
      <c r="BD106" s="2">
        <v>0.35</v>
      </c>
      <c r="BE106" s="2">
        <v>2.13</v>
      </c>
      <c r="BF106" s="2">
        <v>0.35</v>
      </c>
      <c r="BG106" s="5" t="s">
        <v>27</v>
      </c>
    </row>
    <row r="107" spans="1:59" ht="15.75" x14ac:dyDescent="0.15">
      <c r="A107" s="2" t="s">
        <v>111</v>
      </c>
      <c r="B107" s="1" t="s">
        <v>174</v>
      </c>
      <c r="C107" s="1">
        <v>1320</v>
      </c>
      <c r="D107" s="2">
        <v>51.03</v>
      </c>
      <c r="E107" s="2">
        <v>2.08</v>
      </c>
      <c r="F107" s="2">
        <v>14.79</v>
      </c>
      <c r="G107" s="2">
        <v>13.43</v>
      </c>
      <c r="H107" s="2">
        <v>0.18</v>
      </c>
      <c r="I107" s="2">
        <v>5.17</v>
      </c>
      <c r="J107" s="2">
        <v>8.7899999999999991</v>
      </c>
      <c r="K107" s="2">
        <v>1.9</v>
      </c>
      <c r="L107" s="2">
        <v>1.27</v>
      </c>
      <c r="M107" s="2">
        <v>0.17</v>
      </c>
      <c r="N107" s="2">
        <v>1.38</v>
      </c>
      <c r="O107" s="2">
        <v>100.19</v>
      </c>
      <c r="P107" s="2"/>
      <c r="Q107" s="2">
        <f t="shared" si="1"/>
        <v>3.17</v>
      </c>
      <c r="R107" s="2">
        <v>0.72</v>
      </c>
      <c r="S107" s="2">
        <v>43.28</v>
      </c>
      <c r="T107" s="2">
        <v>425.3</v>
      </c>
      <c r="U107" s="2">
        <v>31.12</v>
      </c>
      <c r="V107" s="2">
        <v>160.4</v>
      </c>
      <c r="W107" s="2">
        <v>21.59</v>
      </c>
      <c r="X107" s="2">
        <v>108.11</v>
      </c>
      <c r="Y107" s="2">
        <v>7.28</v>
      </c>
      <c r="Z107" s="2">
        <v>2.92</v>
      </c>
      <c r="AA107" s="2">
        <v>4.72</v>
      </c>
      <c r="AB107" s="2">
        <v>19.239999999999998</v>
      </c>
      <c r="AC107" s="2">
        <v>72.84</v>
      </c>
      <c r="AD107" s="2">
        <v>26.69</v>
      </c>
      <c r="AE107" s="2">
        <v>38.42</v>
      </c>
      <c r="AF107" s="2">
        <v>346.77</v>
      </c>
      <c r="AG107" s="2">
        <v>81.650000000000006</v>
      </c>
      <c r="AH107" s="2">
        <v>3.03</v>
      </c>
      <c r="AI107" s="2">
        <v>1.97</v>
      </c>
      <c r="AJ107" s="2">
        <v>28.23</v>
      </c>
      <c r="AK107" s="2">
        <v>0.59</v>
      </c>
      <c r="AL107" s="2">
        <v>34.35</v>
      </c>
      <c r="AM107" s="2">
        <v>11.2</v>
      </c>
      <c r="AN107" s="2">
        <v>0.75</v>
      </c>
      <c r="AO107" s="2">
        <v>0.62</v>
      </c>
      <c r="AP107" s="4">
        <v>10538.41</v>
      </c>
      <c r="AQ107" s="4">
        <v>742.25</v>
      </c>
      <c r="AR107" s="4">
        <v>12469.59</v>
      </c>
      <c r="AS107" s="2">
        <v>14.01</v>
      </c>
      <c r="AT107" s="2">
        <v>30.78</v>
      </c>
      <c r="AU107" s="2">
        <v>3.9</v>
      </c>
      <c r="AV107" s="2">
        <v>17.37</v>
      </c>
      <c r="AW107" s="2">
        <v>4.2</v>
      </c>
      <c r="AX107" s="2">
        <v>1.44</v>
      </c>
      <c r="AY107" s="2">
        <v>4.57</v>
      </c>
      <c r="AZ107" s="2">
        <v>0.59</v>
      </c>
      <c r="BA107" s="2">
        <v>4.5</v>
      </c>
      <c r="BB107" s="2">
        <v>0.93</v>
      </c>
      <c r="BC107" s="2">
        <v>2.64</v>
      </c>
      <c r="BD107" s="2">
        <v>0.38</v>
      </c>
      <c r="BE107" s="2">
        <v>2.2400000000000002</v>
      </c>
      <c r="BF107" s="2">
        <v>0.39</v>
      </c>
      <c r="BG107" s="5" t="s">
        <v>27</v>
      </c>
    </row>
    <row r="108" spans="1:59" ht="15.75" x14ac:dyDescent="0.15">
      <c r="A108" s="2" t="s">
        <v>112</v>
      </c>
      <c r="B108" s="1" t="s">
        <v>174</v>
      </c>
      <c r="C108" s="1">
        <v>1320</v>
      </c>
      <c r="D108" s="2">
        <v>47.08</v>
      </c>
      <c r="E108" s="2">
        <v>3.1</v>
      </c>
      <c r="F108" s="2">
        <v>11.61</v>
      </c>
      <c r="G108" s="2">
        <v>20.02</v>
      </c>
      <c r="H108" s="2">
        <v>0.23</v>
      </c>
      <c r="I108" s="2">
        <v>5.12</v>
      </c>
      <c r="J108" s="2">
        <v>9.5500000000000007</v>
      </c>
      <c r="K108" s="2">
        <v>1.67</v>
      </c>
      <c r="L108" s="2">
        <v>0.49</v>
      </c>
      <c r="M108" s="2">
        <v>0.23</v>
      </c>
      <c r="N108" s="2">
        <v>0.72</v>
      </c>
      <c r="O108" s="2">
        <v>99.82</v>
      </c>
      <c r="P108" s="2"/>
      <c r="Q108" s="2">
        <f t="shared" si="1"/>
        <v>2.16</v>
      </c>
      <c r="R108" s="2">
        <v>0.56000000000000005</v>
      </c>
      <c r="S108" s="2">
        <v>33.64</v>
      </c>
      <c r="T108" s="2">
        <v>130.6</v>
      </c>
      <c r="U108" s="2">
        <v>13.84</v>
      </c>
      <c r="V108" s="2">
        <v>135.5</v>
      </c>
      <c r="W108" s="2">
        <v>30.79</v>
      </c>
      <c r="X108" s="2">
        <v>149.30000000000001</v>
      </c>
      <c r="Y108" s="2">
        <v>10.34</v>
      </c>
      <c r="Z108" s="2">
        <v>2.5099999999999998</v>
      </c>
      <c r="AA108" s="2">
        <v>3.74</v>
      </c>
      <c r="AB108" s="2">
        <v>21.13</v>
      </c>
      <c r="AC108" s="2">
        <v>88.48</v>
      </c>
      <c r="AD108" s="2">
        <v>74.599999999999994</v>
      </c>
      <c r="AE108" s="2">
        <v>58.32</v>
      </c>
      <c r="AF108" s="2">
        <v>847.74</v>
      </c>
      <c r="AG108" s="2">
        <v>37.56</v>
      </c>
      <c r="AH108" s="2">
        <v>4.01</v>
      </c>
      <c r="AI108" s="2">
        <v>0.72</v>
      </c>
      <c r="AJ108" s="2">
        <v>40.5</v>
      </c>
      <c r="AK108" s="2">
        <v>0.77</v>
      </c>
      <c r="AL108" s="2">
        <v>49.35</v>
      </c>
      <c r="AM108" s="2">
        <v>11.82</v>
      </c>
      <c r="AN108" s="2">
        <v>0.86</v>
      </c>
      <c r="AO108" s="2">
        <v>0.54</v>
      </c>
      <c r="AP108" s="4">
        <v>4066</v>
      </c>
      <c r="AQ108" s="4">
        <v>1004.23</v>
      </c>
      <c r="AR108" s="4">
        <v>18584.48</v>
      </c>
      <c r="AS108" s="2">
        <v>15.91</v>
      </c>
      <c r="AT108" s="2">
        <v>35.869999999999997</v>
      </c>
      <c r="AU108" s="2">
        <v>4.72</v>
      </c>
      <c r="AV108" s="2">
        <v>22.2</v>
      </c>
      <c r="AW108" s="2">
        <v>5.53</v>
      </c>
      <c r="AX108" s="2">
        <v>1.66</v>
      </c>
      <c r="AY108" s="2">
        <v>6.14</v>
      </c>
      <c r="AZ108" s="2">
        <v>0.85</v>
      </c>
      <c r="BA108" s="2">
        <v>6.58</v>
      </c>
      <c r="BB108" s="2">
        <v>1.39</v>
      </c>
      <c r="BC108" s="2">
        <v>3.87</v>
      </c>
      <c r="BD108" s="2">
        <v>0.57999999999999996</v>
      </c>
      <c r="BE108" s="2">
        <v>3.3</v>
      </c>
      <c r="BF108" s="2">
        <v>0.56000000000000005</v>
      </c>
      <c r="BG108" s="5" t="s">
        <v>27</v>
      </c>
    </row>
    <row r="109" spans="1:59" ht="15.75" x14ac:dyDescent="0.15">
      <c r="A109" s="2" t="s">
        <v>113</v>
      </c>
      <c r="B109" s="1" t="s">
        <v>174</v>
      </c>
      <c r="C109" s="1">
        <v>1320</v>
      </c>
      <c r="D109" s="2">
        <v>47.98</v>
      </c>
      <c r="E109" s="2">
        <v>1.55</v>
      </c>
      <c r="F109" s="2">
        <v>14.65</v>
      </c>
      <c r="G109" s="2">
        <v>12.03</v>
      </c>
      <c r="H109" s="2">
        <v>0.17</v>
      </c>
      <c r="I109" s="2">
        <v>6.51</v>
      </c>
      <c r="J109" s="2">
        <v>9.1199999999999992</v>
      </c>
      <c r="K109" s="2">
        <v>2.7</v>
      </c>
      <c r="L109" s="2">
        <v>1.26</v>
      </c>
      <c r="M109" s="2">
        <v>0.1</v>
      </c>
      <c r="N109" s="2">
        <v>3.92</v>
      </c>
      <c r="O109" s="2">
        <v>99.99</v>
      </c>
      <c r="P109" s="2"/>
      <c r="Q109" s="2">
        <f t="shared" si="1"/>
        <v>3.96</v>
      </c>
      <c r="R109" s="2">
        <v>0.65</v>
      </c>
      <c r="S109" s="2">
        <v>51.75</v>
      </c>
      <c r="T109" s="2">
        <v>189</v>
      </c>
      <c r="U109" s="2">
        <v>37.4</v>
      </c>
      <c r="V109" s="2">
        <v>316</v>
      </c>
      <c r="W109" s="2">
        <v>23.7</v>
      </c>
      <c r="X109" s="2">
        <v>172</v>
      </c>
      <c r="Y109" s="2">
        <v>7.3</v>
      </c>
      <c r="Z109" s="2">
        <v>1.76</v>
      </c>
      <c r="AA109" s="2">
        <v>3.59</v>
      </c>
      <c r="AB109" s="2">
        <v>19.3</v>
      </c>
      <c r="AC109" s="2">
        <v>103</v>
      </c>
      <c r="AD109" s="2">
        <v>81.099999999999994</v>
      </c>
      <c r="AE109" s="2">
        <v>91.8</v>
      </c>
      <c r="AF109" s="2">
        <v>324</v>
      </c>
      <c r="AG109" s="2">
        <v>326</v>
      </c>
      <c r="AH109" s="2">
        <v>4.34</v>
      </c>
      <c r="AI109" s="2">
        <v>0.64</v>
      </c>
      <c r="AJ109" s="2">
        <v>40.1</v>
      </c>
      <c r="AK109" s="2">
        <v>0.56999999999999995</v>
      </c>
      <c r="AL109" s="2">
        <v>50.5</v>
      </c>
      <c r="AM109" s="2">
        <v>26.6</v>
      </c>
      <c r="AN109" s="2">
        <v>0.43</v>
      </c>
      <c r="AO109" s="2">
        <v>0.41</v>
      </c>
      <c r="AP109" s="4">
        <v>10455.43</v>
      </c>
      <c r="AQ109" s="4">
        <v>436.62</v>
      </c>
      <c r="AR109" s="4">
        <v>9292.24</v>
      </c>
      <c r="AS109" s="2">
        <v>9.5</v>
      </c>
      <c r="AT109" s="2">
        <v>21</v>
      </c>
      <c r="AU109" s="2">
        <v>2.79</v>
      </c>
      <c r="AV109" s="2">
        <v>13.1</v>
      </c>
      <c r="AW109" s="2">
        <v>3.4</v>
      </c>
      <c r="AX109" s="2">
        <v>1.34</v>
      </c>
      <c r="AY109" s="2">
        <v>3.48</v>
      </c>
      <c r="AZ109" s="2">
        <v>0.81</v>
      </c>
      <c r="BA109" s="2">
        <v>4.4400000000000004</v>
      </c>
      <c r="BB109" s="2">
        <v>0.9</v>
      </c>
      <c r="BC109" s="2">
        <v>2.73</v>
      </c>
      <c r="BD109" s="2">
        <v>0.38</v>
      </c>
      <c r="BE109" s="2">
        <v>2.48</v>
      </c>
      <c r="BF109" s="2">
        <v>0.35</v>
      </c>
      <c r="BG109" s="5" t="s">
        <v>80</v>
      </c>
    </row>
    <row r="110" spans="1:59" ht="15.75" x14ac:dyDescent="0.15">
      <c r="A110" s="2" t="s">
        <v>114</v>
      </c>
      <c r="B110" s="1" t="s">
        <v>174</v>
      </c>
      <c r="C110" s="1">
        <v>1320</v>
      </c>
      <c r="D110" s="2">
        <v>46.38</v>
      </c>
      <c r="E110" s="2">
        <v>1.61</v>
      </c>
      <c r="F110" s="2">
        <v>15.38</v>
      </c>
      <c r="G110" s="2">
        <v>14.51</v>
      </c>
      <c r="H110" s="2">
        <v>0.17</v>
      </c>
      <c r="I110" s="2">
        <v>8.86</v>
      </c>
      <c r="J110" s="2">
        <v>8.9</v>
      </c>
      <c r="K110" s="2">
        <v>1.85</v>
      </c>
      <c r="L110" s="2">
        <v>0.39</v>
      </c>
      <c r="M110" s="2">
        <v>0.08</v>
      </c>
      <c r="N110" s="2">
        <v>1.85</v>
      </c>
      <c r="O110" s="2">
        <v>99.98</v>
      </c>
      <c r="P110" s="2"/>
      <c r="Q110" s="2">
        <f t="shared" si="1"/>
        <v>2.2400000000000002</v>
      </c>
      <c r="R110" s="2">
        <v>0.78</v>
      </c>
      <c r="S110" s="2">
        <v>54.74</v>
      </c>
      <c r="T110" s="2">
        <v>92</v>
      </c>
      <c r="U110" s="2">
        <v>13.4</v>
      </c>
      <c r="V110" s="2">
        <v>180</v>
      </c>
      <c r="W110" s="2">
        <v>21.2</v>
      </c>
      <c r="X110" s="2">
        <v>172</v>
      </c>
      <c r="Y110" s="2">
        <v>8.0399999999999991</v>
      </c>
      <c r="Z110" s="2">
        <v>1.88</v>
      </c>
      <c r="AA110" s="2">
        <v>3.1</v>
      </c>
      <c r="AB110" s="2">
        <v>17.7</v>
      </c>
      <c r="AC110" s="2">
        <v>119</v>
      </c>
      <c r="AD110" s="2">
        <v>93.7</v>
      </c>
      <c r="AE110" s="2">
        <v>227</v>
      </c>
      <c r="AF110" s="2">
        <v>243</v>
      </c>
      <c r="AG110" s="2">
        <v>106</v>
      </c>
      <c r="AH110" s="2">
        <v>4.7699999999999996</v>
      </c>
      <c r="AI110" s="2">
        <v>0.67</v>
      </c>
      <c r="AJ110" s="2">
        <v>25.3</v>
      </c>
      <c r="AK110" s="2">
        <v>0.74</v>
      </c>
      <c r="AL110" s="2">
        <v>75.7</v>
      </c>
      <c r="AM110" s="2">
        <v>8.9700000000000006</v>
      </c>
      <c r="AN110" s="2">
        <v>0.47</v>
      </c>
      <c r="AO110" s="2">
        <v>0.4</v>
      </c>
      <c r="AP110" s="4">
        <v>3236.21</v>
      </c>
      <c r="AQ110" s="4">
        <v>349.3</v>
      </c>
      <c r="AR110" s="4">
        <v>9651.94</v>
      </c>
      <c r="AS110" s="2">
        <v>7.93</v>
      </c>
      <c r="AT110" s="2">
        <v>17.399999999999999</v>
      </c>
      <c r="AU110" s="2">
        <v>2.38</v>
      </c>
      <c r="AV110" s="2">
        <v>10.9</v>
      </c>
      <c r="AW110" s="2">
        <v>2.67</v>
      </c>
      <c r="AX110" s="2">
        <v>1.1499999999999999</v>
      </c>
      <c r="AY110" s="2">
        <v>3.06</v>
      </c>
      <c r="AZ110" s="2">
        <v>0.68</v>
      </c>
      <c r="BA110" s="2">
        <v>3.85</v>
      </c>
      <c r="BB110" s="2">
        <v>0.79</v>
      </c>
      <c r="BC110" s="2">
        <v>2.57</v>
      </c>
      <c r="BD110" s="2">
        <v>0.35</v>
      </c>
      <c r="BE110" s="2">
        <v>2.31</v>
      </c>
      <c r="BF110" s="2">
        <v>0.35</v>
      </c>
      <c r="BG110" s="5" t="s">
        <v>80</v>
      </c>
    </row>
    <row r="111" spans="1:59" ht="15.75" x14ac:dyDescent="0.15">
      <c r="A111" s="2" t="s">
        <v>115</v>
      </c>
      <c r="B111" s="1" t="s">
        <v>174</v>
      </c>
      <c r="C111" s="1">
        <v>1320</v>
      </c>
      <c r="D111" s="2">
        <v>49.32</v>
      </c>
      <c r="E111" s="2">
        <v>3.27</v>
      </c>
      <c r="F111" s="2">
        <v>11.89</v>
      </c>
      <c r="G111" s="2">
        <v>17.600000000000001</v>
      </c>
      <c r="H111" s="2">
        <v>0.21</v>
      </c>
      <c r="I111" s="2">
        <v>4.59</v>
      </c>
      <c r="J111" s="2">
        <v>8.5299999999999994</v>
      </c>
      <c r="K111" s="2">
        <v>2.2000000000000002</v>
      </c>
      <c r="L111" s="2">
        <v>0.96</v>
      </c>
      <c r="M111" s="2">
        <v>0.13</v>
      </c>
      <c r="N111" s="2">
        <v>1.28</v>
      </c>
      <c r="O111" s="2">
        <v>99.98</v>
      </c>
      <c r="P111" s="2"/>
      <c r="Q111" s="2">
        <f t="shared" si="1"/>
        <v>3.16</v>
      </c>
      <c r="R111" s="2">
        <v>0.59</v>
      </c>
      <c r="S111" s="2">
        <v>34.06</v>
      </c>
      <c r="T111" s="2">
        <v>226</v>
      </c>
      <c r="U111" s="2">
        <v>37.6</v>
      </c>
      <c r="V111" s="2">
        <v>192</v>
      </c>
      <c r="W111" s="2">
        <v>41.9</v>
      </c>
      <c r="X111" s="2">
        <v>338</v>
      </c>
      <c r="Y111" s="2">
        <v>16.5</v>
      </c>
      <c r="Z111" s="2">
        <v>3.23</v>
      </c>
      <c r="AA111" s="2">
        <v>5.52</v>
      </c>
      <c r="AB111" s="2">
        <v>24</v>
      </c>
      <c r="AC111" s="2">
        <v>184</v>
      </c>
      <c r="AD111" s="2">
        <v>178</v>
      </c>
      <c r="AE111" s="2">
        <v>34.4</v>
      </c>
      <c r="AF111" s="2">
        <v>536</v>
      </c>
      <c r="AG111" s="2">
        <v>60.6</v>
      </c>
      <c r="AH111" s="2">
        <v>8.26</v>
      </c>
      <c r="AI111" s="2">
        <v>1.41</v>
      </c>
      <c r="AJ111" s="2">
        <v>47.9</v>
      </c>
      <c r="AK111" s="2">
        <v>1.44</v>
      </c>
      <c r="AL111" s="2">
        <v>51.9</v>
      </c>
      <c r="AM111" s="2">
        <v>16.899999999999999</v>
      </c>
      <c r="AN111" s="2">
        <v>1.1299999999999999</v>
      </c>
      <c r="AO111" s="2">
        <v>0.72</v>
      </c>
      <c r="AP111" s="4">
        <v>7966.04</v>
      </c>
      <c r="AQ111" s="4">
        <v>567.61</v>
      </c>
      <c r="AR111" s="4">
        <v>19603.63</v>
      </c>
      <c r="AS111" s="2">
        <v>15.3</v>
      </c>
      <c r="AT111" s="2">
        <v>34.5</v>
      </c>
      <c r="AU111" s="2">
        <v>4.83</v>
      </c>
      <c r="AV111" s="2">
        <v>22.2</v>
      </c>
      <c r="AW111" s="2">
        <v>5.56</v>
      </c>
      <c r="AX111" s="2">
        <v>2.15</v>
      </c>
      <c r="AY111" s="2">
        <v>6.56</v>
      </c>
      <c r="AZ111" s="2">
        <v>1.31</v>
      </c>
      <c r="BA111" s="2">
        <v>7.23</v>
      </c>
      <c r="BB111" s="2">
        <v>1.52</v>
      </c>
      <c r="BC111" s="2">
        <v>4.7300000000000004</v>
      </c>
      <c r="BD111" s="2">
        <v>0.69</v>
      </c>
      <c r="BE111" s="2">
        <v>4.43</v>
      </c>
      <c r="BF111" s="2">
        <v>0.71</v>
      </c>
      <c r="BG111" s="5" t="s">
        <v>80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蒋济莲</dc:creator>
  <cp:lastModifiedBy>济莲 蒋</cp:lastModifiedBy>
  <dcterms:created xsi:type="dcterms:W3CDTF">2023-05-12T11:15:00Z</dcterms:created>
  <dcterms:modified xsi:type="dcterms:W3CDTF">2024-11-19T07:34:15Z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